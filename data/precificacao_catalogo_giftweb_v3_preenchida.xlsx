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D9891E-6B37-43C5-A75A-5FDCCAA643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tálogo" sheetId="1" r:id="rId1"/>
    <sheet name="Ocultos" sheetId="2" r:id="rId2"/>
  </sheets>
  <definedNames>
    <definedName name="_xlnm._FilterDatabase" localSheetId="0" hidden="1">Catálogo!$A$10:$N$107</definedName>
    <definedName name="_xlnm._FilterDatabase" localSheetId="1" hidden="1">Ocultos!$A$10:$N$51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1" i="2" l="1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2" authorId="0" shapeId="0" xr:uid="{00000000-0006-0000-0000-000001000000}">
      <text>
        <r>
          <rPr>
            <sz val="10"/>
            <rFont val="Arial"/>
            <family val="2"/>
          </rPr>
          <t>Fora do padrão custo x 2,5 (está em 1.15x).
Custo atual no fornecedor: R$ 26.00.
Ou o custo mudou desde que o catálogo foi montado, ou o preço foi editado à mão.</t>
        </r>
      </text>
    </comment>
    <comment ref="L13" authorId="0" shapeId="0" xr:uid="{00000000-0006-0000-0000-000002000000}">
      <text>
        <r>
          <rPr>
            <sz val="10"/>
            <rFont val="Arial"/>
            <family val="2"/>
          </rPr>
          <t>Fora do padrão custo x 2,5 (está em 1.89x).
Custo atual no fornecedor: R$ 36.90.
Ou o custo mudou desde que o catálogo foi montado, ou o preço foi editado à mão.</t>
        </r>
      </text>
    </comment>
    <comment ref="L15" authorId="0" shapeId="0" xr:uid="{00000000-0006-0000-0000-000003000000}">
      <text>
        <r>
          <rPr>
            <sz val="10"/>
            <rFont val="Arial"/>
            <family val="2"/>
          </rPr>
          <t>Fora do padrão custo x 2,5 (está em 1.39x).
Custo atual no fornecedor: R$ 17.90.
Ou o custo mudou desde que o catálogo foi montado, ou o preço foi editado à mão.</t>
        </r>
      </text>
    </comment>
    <comment ref="L17" authorId="0" shapeId="0" xr:uid="{00000000-0006-0000-0000-000004000000}">
      <text>
        <r>
          <rPr>
            <sz val="10"/>
            <rFont val="Arial"/>
            <family val="2"/>
          </rPr>
          <t>Fora do padrão custo x 2,5 (está em 1.77x).
Custo atual no fornecedor: R$ 16.90.
Ou o custo mudou desde que o catálogo foi montado, ou o preço foi editado à mão.</t>
        </r>
      </text>
    </comment>
    <comment ref="L19" authorId="0" shapeId="0" xr:uid="{00000000-0006-0000-0000-000005000000}">
      <text>
        <r>
          <rPr>
            <sz val="10"/>
            <rFont val="Arial"/>
            <family val="2"/>
          </rPr>
          <t>Fora do padrão custo x 2,5 (está em 2.52x).
Custo atual no fornecedor: R$ 10.80.
Ou o custo mudou desde que o catálogo foi montado, ou o preço foi editado à mão.</t>
        </r>
      </text>
    </comment>
    <comment ref="L28" authorId="0" shapeId="0" xr:uid="{00000000-0006-0000-0000-000006000000}">
      <text>
        <r>
          <rPr>
            <sz val="10"/>
            <rFont val="Arial"/>
            <family val="2"/>
          </rPr>
          <t>Fora do padrão custo x 2,5 (está em 2.77x).
Custo atual no fornecedor: R$ 27.00.
Ou o custo mudou desde que o catálogo foi montado, ou o preço foi editado à mão.</t>
        </r>
      </text>
    </comment>
    <comment ref="L51" authorId="0" shapeId="0" xr:uid="{00000000-0006-0000-0000-000007000000}">
      <text>
        <r>
          <rPr>
            <sz val="10"/>
            <rFont val="Arial"/>
            <family val="2"/>
          </rPr>
          <t>Fora do padrão custo x 2,5 (está em 2.55x).
Custo atual no fornecedor: R$ 11.00.
Ou o custo mudou desde que o catálogo foi montado, ou o preço foi editado à mão.</t>
        </r>
      </text>
    </comment>
    <comment ref="L80" authorId="0" shapeId="0" xr:uid="{00000000-0006-0000-0000-000008000000}">
      <text>
        <r>
          <rPr>
            <sz val="10"/>
            <rFont val="Arial"/>
            <family val="2"/>
          </rPr>
          <t>Fora do padrão custo x 2,5 (está em 2.58x).
Custo atual no fornecedor: R$ 16.40.
Ou o custo mudou desde que o catálogo foi montado, ou o preço foi editado à mão.</t>
        </r>
      </text>
    </comment>
    <comment ref="L83" authorId="0" shapeId="0" xr:uid="{00000000-0006-0000-0000-000009000000}">
      <text>
        <r>
          <rPr>
            <sz val="10"/>
            <rFont val="Arial"/>
            <family val="2"/>
          </rPr>
          <t>Fora do padrão custo x 2,5 (está em 2.60x).
Custo atual no fornecedor: R$ 3.75.
Ou o custo mudou desde que o catálogo foi montado, ou o preço foi editado à mão.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2" authorId="0" shapeId="0" xr:uid="{00000000-0006-0000-0100-000001000000}">
      <text>
        <r>
          <rPr>
            <sz val="10"/>
            <rFont val="Arial"/>
            <family val="2"/>
          </rPr>
          <t>Fora do padrão custo x 2,5 (está em 1.92x).
Custo atual no fornecedor: R$ 36.50.
Ou o custo mudou desde que o catálogo foi montado, ou o preço foi editado à mão.</t>
        </r>
      </text>
    </comment>
    <comment ref="L14" authorId="0" shapeId="0" xr:uid="{00000000-0006-0000-0100-000002000000}">
      <text>
        <r>
          <rPr>
            <sz val="10"/>
            <rFont val="Arial"/>
            <family val="2"/>
          </rPr>
          <t>Fora do padrão custo x 2,5 (está em 2.41x).
Custo atual no fornecedor: R$ 3.10.
Ou o custo mudou desde que o catálogo foi montado, ou o preço foi editado à mão.</t>
        </r>
      </text>
    </comment>
    <comment ref="L16" authorId="0" shapeId="0" xr:uid="{00000000-0006-0000-0100-000003000000}">
      <text>
        <r>
          <rPr>
            <sz val="10"/>
            <rFont val="Arial"/>
            <family val="2"/>
          </rPr>
          <t>Fora do padrão custo x 2,5 (está em 2.62x).
Custo atual no fornecedor: R$ 9.45.
Ou o custo mudou desde que o catálogo foi montado, ou o preço foi editado à mão.</t>
        </r>
      </text>
    </comment>
  </commentList>
</comments>
</file>

<file path=xl/sharedStrings.xml><?xml version="1.0" encoding="utf-8"?>
<sst xmlns="http://schemas.openxmlformats.org/spreadsheetml/2006/main" count="596" uniqueCount="301">
  <si>
    <t>Precificação — Catálogo Gift Web</t>
  </si>
  <si>
    <t>96 produtos que o cliente vê hoje em giftwebbrindes.com.br/catalogo-clientes</t>
  </si>
  <si>
    <t>Como preencher</t>
  </si>
  <si>
    <t>• Edite apenas as colunas de fundo amarelo: Qtd faixa 1/2/3 e Venda faixa 1/2/3. O texto em azul é o valor que está no ar hoje - altere só o que quiser mudar.</t>
  </si>
  <si>
    <t>• As faixas são a escada de quantidade do card: faixa 1 é o menor volume e faixa 3 é o melhor preço. Quase todo produto usa 20 / 50 / 100; caneta, sacola e o chaveiro 09824 usam 100 / 200 / 1000, porque o mínimo do fornecedor é 100.</t>
  </si>
  <si>
    <t>• As colunas x1, x2 e x3 são calculadas (venda ÷ custo) e atualizam sozinhas conforme você digita. Servem para conferir a margem - não precisa preencher.</t>
  </si>
  <si>
    <t>• Código, Descrição, Situação, Seção e Custo são só referência. Não altere o Código: é por ele que os preços voltam para o sistema.</t>
  </si>
  <si>
    <t>Código</t>
  </si>
  <si>
    <t>Descrição</t>
  </si>
  <si>
    <t>Situação</t>
  </si>
  <si>
    <t>Seção do catálogo</t>
  </si>
  <si>
    <t>Custo (R$)</t>
  </si>
  <si>
    <t>Qtd faixa 1</t>
  </si>
  <si>
    <t>Venda faixa 1 (R$)</t>
  </si>
  <si>
    <t>Qtd faixa 2</t>
  </si>
  <si>
    <t>Venda faixa 2 (R$)</t>
  </si>
  <si>
    <t>Qtd faixa 3</t>
  </si>
  <si>
    <t>Venda faixa 3 (R$)</t>
  </si>
  <si>
    <t>x1</t>
  </si>
  <si>
    <t>x2</t>
  </si>
  <si>
    <t>x3</t>
  </si>
  <si>
    <t>EXEMPLO</t>
  </si>
  <si>
    <t>Assim que a linha deve ficar preenchida</t>
  </si>
  <si>
    <t>—</t>
  </si>
  <si>
    <t>14794</t>
  </si>
  <si>
    <t>Garrafa Led Termometro 500 Ml</t>
  </si>
  <si>
    <t>No catálogo</t>
  </si>
  <si>
    <t>Copos, Garrafas e Canecas</t>
  </si>
  <si>
    <t>06033</t>
  </si>
  <si>
    <t>Garrafa Quencher 1,2L Canudo Inox</t>
  </si>
  <si>
    <t>18921</t>
  </si>
  <si>
    <t>Squeeze Alumínio 600Ml</t>
  </si>
  <si>
    <t>18645L</t>
  </si>
  <si>
    <t>Copo Térmico 473mL C/ Abridor</t>
  </si>
  <si>
    <t>03006A</t>
  </si>
  <si>
    <t>Copo Fibra De Bambu 350Ml</t>
  </si>
  <si>
    <t>14726L</t>
  </si>
  <si>
    <t>Copo Térmico Cuia Premium 350 mL</t>
  </si>
  <si>
    <t>06096</t>
  </si>
  <si>
    <t>Copo Vidro Parede Dupla 160Ml</t>
  </si>
  <si>
    <t>12487F</t>
  </si>
  <si>
    <t>Squeeze Aluminio Fosco 650Ml</t>
  </si>
  <si>
    <t>02112</t>
  </si>
  <si>
    <t>Garrafa Térmica 400Ml</t>
  </si>
  <si>
    <t>18695</t>
  </si>
  <si>
    <t>Garrafa Plástica 600Ml</t>
  </si>
  <si>
    <t>09138</t>
  </si>
  <si>
    <t>Squeeze Alumínio 420Ml C/ Mosquetão</t>
  </si>
  <si>
    <t>18552</t>
  </si>
  <si>
    <t>Garrafa Inox 750Ml</t>
  </si>
  <si>
    <t>17011F</t>
  </si>
  <si>
    <t>Garrafa 750Ml Inox</t>
  </si>
  <si>
    <t>18855</t>
  </si>
  <si>
    <t>Garrafa Térmica Inox 850Ml</t>
  </si>
  <si>
    <t>08195</t>
  </si>
  <si>
    <t>Garrafa Térmica Inox 550Ml</t>
  </si>
  <si>
    <t>07392</t>
  </si>
  <si>
    <t>Caneca Inox 180Ml C/ Tampa</t>
  </si>
  <si>
    <t>04070</t>
  </si>
  <si>
    <t>Caneca Térmica 700Ml</t>
  </si>
  <si>
    <t>18912</t>
  </si>
  <si>
    <t>Caneca Térmica Inox 300Ml</t>
  </si>
  <si>
    <t>01320</t>
  </si>
  <si>
    <t>Mochila De Nylon Usb 20L</t>
  </si>
  <si>
    <t>Mochilas, Bolsas e Malas</t>
  </si>
  <si>
    <t>18539</t>
  </si>
  <si>
    <t>Mochila De Nylon Dobrável 21L</t>
  </si>
  <si>
    <t>02105</t>
  </si>
  <si>
    <t>Mochila Nylon 17L</t>
  </si>
  <si>
    <t>02066</t>
  </si>
  <si>
    <t>Mochila Nylon Poliester</t>
  </si>
  <si>
    <t>18601</t>
  </si>
  <si>
    <t>Sacochila Poliéster</t>
  </si>
  <si>
    <t>01326</t>
  </si>
  <si>
    <t>02596</t>
  </si>
  <si>
    <t>Bolsa Térmica 15L</t>
  </si>
  <si>
    <t>02697</t>
  </si>
  <si>
    <t>Bolsa Térmica 17L</t>
  </si>
  <si>
    <t>06070P</t>
  </si>
  <si>
    <t>Mala De Bordo 30 Litros</t>
  </si>
  <si>
    <t>08242</t>
  </si>
  <si>
    <t>Mala De Viagem 37L</t>
  </si>
  <si>
    <t>18516</t>
  </si>
  <si>
    <t>Necessaire Em Poliester Impermeável</t>
  </si>
  <si>
    <t>Necessaires e Porta Joias</t>
  </si>
  <si>
    <t>18501</t>
  </si>
  <si>
    <t>Nécessaire De Nylon</t>
  </si>
  <si>
    <t>01228P</t>
  </si>
  <si>
    <t>Necessaire Pvc Impermeável C/ Plaquinha</t>
  </si>
  <si>
    <t>18753</t>
  </si>
  <si>
    <t>Nécessaire De Poliéster</t>
  </si>
  <si>
    <t>01622B</t>
  </si>
  <si>
    <t>Porta Joias</t>
  </si>
  <si>
    <t>08142</t>
  </si>
  <si>
    <t>Porta-Joias Com Espelho</t>
  </si>
  <si>
    <t>18717</t>
  </si>
  <si>
    <t>18724</t>
  </si>
  <si>
    <t>Kit Manicure 16 Peças</t>
  </si>
  <si>
    <t>18900</t>
  </si>
  <si>
    <t>Kit Manicure 10 Peças</t>
  </si>
  <si>
    <t>03009</t>
  </si>
  <si>
    <t>Caderneta Emborrachada</t>
  </si>
  <si>
    <t>Cadernetas, Blocos e Canetas</t>
  </si>
  <si>
    <t>05067</t>
  </si>
  <si>
    <t>14092N</t>
  </si>
  <si>
    <t>Caderneta Emborrachada Com Porta Caneta</t>
  </si>
  <si>
    <t>05071</t>
  </si>
  <si>
    <t>Caderno A5 Plástico</t>
  </si>
  <si>
    <t>06098</t>
  </si>
  <si>
    <t>Bloco De Anotações Com Caneta</t>
  </si>
  <si>
    <t>12638</t>
  </si>
  <si>
    <t>Caneta Plástica Touch</t>
  </si>
  <si>
    <t>ER143B</t>
  </si>
  <si>
    <t>Caneta Metal</t>
  </si>
  <si>
    <t>13499B</t>
  </si>
  <si>
    <t>Caneta Plastica C/ Suporte E Touch</t>
  </si>
  <si>
    <t>05015B</t>
  </si>
  <si>
    <t>Caneta Metal Touch</t>
  </si>
  <si>
    <t>09824</t>
  </si>
  <si>
    <t>Chaveiro Metal Abridor</t>
  </si>
  <si>
    <t>Chaveiros, Mouse Pad e Kit Executivo</t>
  </si>
  <si>
    <t>01955</t>
  </si>
  <si>
    <t>Chaveiro Metal Retangular</t>
  </si>
  <si>
    <t>08232</t>
  </si>
  <si>
    <t>Chaveiro Trena Plástico 2 Metros</t>
  </si>
  <si>
    <t>01812</t>
  </si>
  <si>
    <t>Mouse Pad</t>
  </si>
  <si>
    <t>03007</t>
  </si>
  <si>
    <t>Mouse Pad Ergonômico</t>
  </si>
  <si>
    <t>01810</t>
  </si>
  <si>
    <t>Mouse Pad C/ Almofada</t>
  </si>
  <si>
    <t>07048B</t>
  </si>
  <si>
    <t>Kit Executivo Ecológico 3 Peças</t>
  </si>
  <si>
    <t>08254</t>
  </si>
  <si>
    <t>Kit Executivo 2 Peças</t>
  </si>
  <si>
    <t>19029</t>
  </si>
  <si>
    <t>04362</t>
  </si>
  <si>
    <t>Caixa De Som Multimídia</t>
  </si>
  <si>
    <t>Som, Fones e Power Bank</t>
  </si>
  <si>
    <t>08002</t>
  </si>
  <si>
    <t>Caixa De Som Bluetooth Tws</t>
  </si>
  <si>
    <t>12789</t>
  </si>
  <si>
    <t>Fone De Ouvido C/ Microfone -Bco/Bco</t>
  </si>
  <si>
    <t>06064</t>
  </si>
  <si>
    <t>Fone De Ouvido Bluetooth Touch Com Case Carregador</t>
  </si>
  <si>
    <t>05048</t>
  </si>
  <si>
    <t>Fone De Ouvido Bluetooth</t>
  </si>
  <si>
    <t>09145</t>
  </si>
  <si>
    <t>Power Bank 10.000Mah Com Carregamento Via Indução Ou Via Cabo</t>
  </si>
  <si>
    <t>08188</t>
  </si>
  <si>
    <t>Power Bank 10.000Mah Com Indicador Led</t>
  </si>
  <si>
    <t>18537G</t>
  </si>
  <si>
    <t>Sacola Em Tnt Revestida C/ Plastico</t>
  </si>
  <si>
    <t>Sacolas de Algodão e TNT</t>
  </si>
  <si>
    <t>13780</t>
  </si>
  <si>
    <t>Sacola Tnt Com Alça</t>
  </si>
  <si>
    <t>13803N</t>
  </si>
  <si>
    <t>Sacola De Algodão</t>
  </si>
  <si>
    <t>18537P</t>
  </si>
  <si>
    <t>13781N</t>
  </si>
  <si>
    <t>Sacola De Tnt</t>
  </si>
  <si>
    <t>04399</t>
  </si>
  <si>
    <t>07447</t>
  </si>
  <si>
    <t>Kit Churrasco No Estojo C/ 2 Pçs</t>
  </si>
  <si>
    <t>Kit Churrasco e Kit Vinho</t>
  </si>
  <si>
    <t>01644</t>
  </si>
  <si>
    <t>Kit Churrasco Na Maleta 4 Peças</t>
  </si>
  <si>
    <t>18891</t>
  </si>
  <si>
    <t>Kit Churrasco 3 Peças</t>
  </si>
  <si>
    <t>18621</t>
  </si>
  <si>
    <t>Saca Rolhas</t>
  </si>
  <si>
    <t>10071G</t>
  </si>
  <si>
    <t>Kit Vinho Caixa De Papelão 2 Peças</t>
  </si>
  <si>
    <t>03493</t>
  </si>
  <si>
    <t>Kit Vinho P/ 1 Garrafa</t>
  </si>
  <si>
    <t>11870</t>
  </si>
  <si>
    <t>Kit Vinho 5Pçs Formato Garrafa</t>
  </si>
  <si>
    <t>10695</t>
  </si>
  <si>
    <t>Saca Rolhas Metálico</t>
  </si>
  <si>
    <t>18857</t>
  </si>
  <si>
    <t>Marmita Hermética De Palha De Trigo</t>
  </si>
  <si>
    <t>Marmitas e Tábuas</t>
  </si>
  <si>
    <t>18858</t>
  </si>
  <si>
    <t>Marmita Hermética Plástica 1L</t>
  </si>
  <si>
    <t>18629</t>
  </si>
  <si>
    <t>Kit Queijo 2 Peças + Tábua Redonda</t>
  </si>
  <si>
    <t>02075</t>
  </si>
  <si>
    <t>Guarda-Chuva Automático</t>
  </si>
  <si>
    <t>Guarda-Chuvas</t>
  </si>
  <si>
    <t>05198</t>
  </si>
  <si>
    <t>Guarda-Chuva Manual</t>
  </si>
  <si>
    <t>02078</t>
  </si>
  <si>
    <t>Guarda-Chuva Invertido</t>
  </si>
  <si>
    <t>05045</t>
  </si>
  <si>
    <t>Guarda-Chuva Manual Com Proteção Uv</t>
  </si>
  <si>
    <t>06063</t>
  </si>
  <si>
    <t>Guarda-Chuva Automático c/ Proteção UV</t>
  </si>
  <si>
    <t>18962</t>
  </si>
  <si>
    <t>Mochila Térmica 18L</t>
  </si>
  <si>
    <t>18967</t>
  </si>
  <si>
    <t>Bolsa Térmica 5L</t>
  </si>
  <si>
    <t>04846</t>
  </si>
  <si>
    <t>Bolsa Térmica 7L</t>
  </si>
  <si>
    <t>09150</t>
  </si>
  <si>
    <t>Bolsa Térmica 33 Litros</t>
  </si>
  <si>
    <t>18961</t>
  </si>
  <si>
    <t>Bolsa Térmica 20 Litros</t>
  </si>
  <si>
    <t>04098</t>
  </si>
  <si>
    <t>Garrafa Térmica 700Ml</t>
  </si>
  <si>
    <t>04014</t>
  </si>
  <si>
    <t>Copo Térmico</t>
  </si>
  <si>
    <t>14724</t>
  </si>
  <si>
    <t>Copo Térmico 500Ml P/ Café</t>
  </si>
  <si>
    <t>04081</t>
  </si>
  <si>
    <t>Caneca Termica 350Ml</t>
  </si>
  <si>
    <t>18587</t>
  </si>
  <si>
    <t>Tábua De Corte</t>
  </si>
  <si>
    <t>18608</t>
  </si>
  <si>
    <t>Tábua P/ Corte C/ Canaleta 30*40Cm</t>
  </si>
  <si>
    <t>18507</t>
  </si>
  <si>
    <t>Necessaire Organizadora</t>
  </si>
  <si>
    <t>96 produtos. Custo lido de products_cache (preco_custo) em 04/09/2026; venda lida de catalogo_clientes.</t>
  </si>
  <si>
    <t>Precificação — produtos ocultos</t>
  </si>
  <si>
    <t>40 produtos que existem no cadastro mas estão desligados do catálogo. Preencha só se pretende reativá-los.</t>
  </si>
  <si>
    <t>01318</t>
  </si>
  <si>
    <t>Mochila Nylon Usb 20L</t>
  </si>
  <si>
    <t>Oculto</t>
  </si>
  <si>
    <t>06094</t>
  </si>
  <si>
    <t>Copo Vidro Parede Dupla 80Ml</t>
  </si>
  <si>
    <t>14498</t>
  </si>
  <si>
    <t>Copo Fibra De Arroz 350Ml</t>
  </si>
  <si>
    <t>08245</t>
  </si>
  <si>
    <t>Copo Inox Parede Dupla 150Ml</t>
  </si>
  <si>
    <t>9139A</t>
  </si>
  <si>
    <t>Squeeze Aluminio 500Ml C/ Bico E Mosquetão</t>
  </si>
  <si>
    <t>17012</t>
  </si>
  <si>
    <t>Garrafa Plástica 700Ml</t>
  </si>
  <si>
    <t>06012</t>
  </si>
  <si>
    <t>Garrafa Inox Parede Dupla 250Ml</t>
  </si>
  <si>
    <t>18781</t>
  </si>
  <si>
    <t>Garrafa De Alumínio 600Ml</t>
  </si>
  <si>
    <t>13282</t>
  </si>
  <si>
    <t>Caneca Cerâmica 330Ml</t>
  </si>
  <si>
    <t>03590</t>
  </si>
  <si>
    <t>Caneca Inox 370Ml</t>
  </si>
  <si>
    <t>06024</t>
  </si>
  <si>
    <t>Bolsa Térmica 6L</t>
  </si>
  <si>
    <t>04357</t>
  </si>
  <si>
    <t>Bolsa Térmica 10L</t>
  </si>
  <si>
    <t>02399</t>
  </si>
  <si>
    <t>Bolsa Térmica 6 Litros.</t>
  </si>
  <si>
    <t>04385</t>
  </si>
  <si>
    <t>Bolsa Térmica 11L</t>
  </si>
  <si>
    <t>15436</t>
  </si>
  <si>
    <t>Balança De Mala</t>
  </si>
  <si>
    <t>06068</t>
  </si>
  <si>
    <t>Mala De Viagem 66L</t>
  </si>
  <si>
    <t>18738</t>
  </si>
  <si>
    <t>Nécessaire Poliéster</t>
  </si>
  <si>
    <t>01361B</t>
  </si>
  <si>
    <t>Kit Manicure 7 Peças</t>
  </si>
  <si>
    <t>03005</t>
  </si>
  <si>
    <t>Caderneta De Couro Sintético</t>
  </si>
  <si>
    <t>11911S</t>
  </si>
  <si>
    <t>Bloco De Anotações C/ Auto-Adesivo</t>
  </si>
  <si>
    <t>05065</t>
  </si>
  <si>
    <t>Bloco De Anotações C/ Auto Adesivos</t>
  </si>
  <si>
    <t>05064</t>
  </si>
  <si>
    <t>Bloco De Anotações Ecológico Com Caneta</t>
  </si>
  <si>
    <t>13546B</t>
  </si>
  <si>
    <t>Caneta C/ 1 Anel E Ponta Touch</t>
  </si>
  <si>
    <t>01810A</t>
  </si>
  <si>
    <t>08255</t>
  </si>
  <si>
    <t>04067</t>
  </si>
  <si>
    <t>Caixa De Som Com Luminária</t>
  </si>
  <si>
    <t>06093</t>
  </si>
  <si>
    <t>Caixa De Som Com Carregador Indução</t>
  </si>
  <si>
    <t>04065</t>
  </si>
  <si>
    <t>Caixa De Som Multimídia Com Relógio</t>
  </si>
  <si>
    <t>05021</t>
  </si>
  <si>
    <t>Fone Bluetooth C/ Carregador</t>
  </si>
  <si>
    <t>06052</t>
  </si>
  <si>
    <t>02250</t>
  </si>
  <si>
    <t>Kit Churrasco 5 Peças</t>
  </si>
  <si>
    <t>05184B</t>
  </si>
  <si>
    <t>Kit Churrasco 8 Peças</t>
  </si>
  <si>
    <t>11871</t>
  </si>
  <si>
    <t>Kit Vinho Plástico Resistente 3 Peças Formato Garrafa</t>
  </si>
  <si>
    <t>12046</t>
  </si>
  <si>
    <t>Kit Vinho Xadrez 4 Pçs</t>
  </si>
  <si>
    <t>06090</t>
  </si>
  <si>
    <t>Marmita Dupla Fibra Bambu</t>
  </si>
  <si>
    <t>06089</t>
  </si>
  <si>
    <t>Marmita Fibra Trigo</t>
  </si>
  <si>
    <t>18584B</t>
  </si>
  <si>
    <t>Tábua De Corte Com Canaleta</t>
  </si>
  <si>
    <t>18591B</t>
  </si>
  <si>
    <t>18599</t>
  </si>
  <si>
    <t>Tábua De Corte Com Canaleta 34X24</t>
  </si>
  <si>
    <t>05044</t>
  </si>
  <si>
    <t>40 produtos. Custo lido de products_cache (preco_custo) em 04/09/2026; venda lida de catalogo_clientes.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</si>
</sst>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0\x"/>
  </numFmts>
  <fonts count="12" x14ac:knownFonts="1">
    <font>
      <sz val="11"/>
      <color theme="1"/>
      <name val="Calibri"/>
      <family val="2"/>
      <charset val="1"/>
    </font>
    <font>
      <b/>
      <sz val="13"/>
      <color rgb="FF07253F"/>
      <name val="Arial"/>
      <charset val="1"/>
    </font>
    <font>
      <sz val="9"/>
      <color rgb="FF595959"/>
      <name val="Arial"/>
      <charset val="1"/>
    </font>
    <font>
      <b/>
      <sz val="9"/>
      <color rgb="FF07253F"/>
      <name val="Arial"/>
      <charset val="1"/>
    </font>
    <font>
      <b/>
      <sz val="10"/>
      <color rgb="FFFFFFFF"/>
      <name val="Arial"/>
      <charset val="1"/>
    </font>
    <font>
      <i/>
      <sz val="10"/>
      <color rgb="FF1B5E20"/>
      <name val="Arial"/>
      <charset val="1"/>
    </font>
    <font>
      <sz val="10"/>
      <name val="Arial"/>
      <charset val="1"/>
    </font>
    <font>
      <sz val="10"/>
      <color rgb="FF808080"/>
      <name val="Arial"/>
      <charset val="1"/>
    </font>
    <font>
      <sz val="10"/>
      <color rgb="FF0000FF"/>
      <name val="Arial"/>
      <charset val="1"/>
    </font>
    <font>
      <sz val="11"/>
      <color rgb="FF000000"/>
      <name val="Cambria"/>
      <charset val="1"/>
    </font>
    <font>
      <sz val="11"/>
      <color rgb="FF0000FF"/>
      <name val="Cambria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253F"/>
        <bgColor rgb="FF003300"/>
      </patternFill>
    </fill>
    <fill>
      <patternFill patternType="solid">
        <fgColor rgb="FFE8F5E9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DECEA"/>
        <bgColor rgb="FFFFF9E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164" fontId="6" fillId="0" borderId="1" xfId="0" applyNumberFormat="1" applyFont="1" applyBorder="1"/>
    <xf numFmtId="0" fontId="8" fillId="4" borderId="1" xfId="0" applyFont="1" applyFill="1" applyBorder="1"/>
    <xf numFmtId="164" fontId="9" fillId="4" borderId="1" xfId="0" applyNumberFormat="1" applyFont="1" applyFill="1" applyBorder="1"/>
    <xf numFmtId="165" fontId="6" fillId="5" borderId="1" xfId="0" applyNumberFormat="1" applyFont="1" applyFill="1" applyBorder="1"/>
    <xf numFmtId="165" fontId="6" fillId="0" borderId="1" xfId="0" applyNumberFormat="1" applyFont="1" applyBorder="1"/>
    <xf numFmtId="164" fontId="10" fillId="4" borderId="1" xfId="0" applyNumberFormat="1" applyFont="1" applyFill="1" applyBorder="1"/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0" fontId="7" fillId="6" borderId="1" xfId="0" applyFont="1" applyFill="1" applyBorder="1"/>
    <xf numFmtId="164" fontId="6" fillId="6" borderId="1" xfId="0" applyNumberFormat="1" applyFont="1" applyFill="1" applyBorder="1"/>
    <xf numFmtId="0" fontId="8" fillId="7" borderId="1" xfId="0" applyFont="1" applyFill="1" applyBorder="1"/>
    <xf numFmtId="164" fontId="9" fillId="7" borderId="1" xfId="0" applyNumberFormat="1" applyFont="1" applyFill="1" applyBorder="1"/>
    <xf numFmtId="165" fontId="6" fillId="8" borderId="1" xfId="0" applyNumberFormat="1" applyFont="1" applyFill="1" applyBorder="1"/>
    <xf numFmtId="165" fontId="6" fillId="6" borderId="1" xfId="0" applyNumberFormat="1" applyFon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7253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showGridLines="0" tabSelected="1" zoomScaleNormal="100" workbookViewId="0">
      <pane xSplit="2" ySplit="11" topLeftCell="C12" activePane="bottomRight" state="frozen"/>
      <selection pane="topRight" activeCell="C1" sqref="C1"/>
      <selection pane="bottomLeft" activeCell="A66" sqref="A66"/>
      <selection pane="bottomRight" activeCell="K14" sqref="K14"/>
    </sheetView>
  </sheetViews>
  <sheetFormatPr defaultColWidth="8.7109375" defaultRowHeight="15" x14ac:dyDescent="0.25"/>
  <cols>
    <col min="1" max="1" width="12" customWidth="1"/>
    <col min="2" max="2" width="42" customWidth="1"/>
    <col min="3" max="3" width="11" customWidth="1"/>
    <col min="4" max="4" width="26" customWidth="1"/>
    <col min="5" max="5" width="11" customWidth="1"/>
    <col min="6" max="6" width="10" customWidth="1"/>
    <col min="7" max="7" width="15" customWidth="1"/>
    <col min="8" max="8" width="10" customWidth="1"/>
    <col min="9" max="9" width="15" customWidth="1"/>
    <col min="10" max="10" width="10" customWidth="1"/>
    <col min="11" max="11" width="15" customWidth="1"/>
    <col min="12" max="14" width="8" customWidth="1"/>
  </cols>
  <sheetData>
    <row r="1" spans="1:14" ht="16.5" customHeight="1" x14ac:dyDescent="0.25">
      <c r="A1" s="1" t="s">
        <v>0</v>
      </c>
    </row>
    <row r="2" spans="1:14" x14ac:dyDescent="0.25">
      <c r="A2" s="2" t="s">
        <v>1</v>
      </c>
    </row>
    <row r="4" spans="1:14" x14ac:dyDescent="0.25">
      <c r="A4" s="3" t="s">
        <v>2</v>
      </c>
    </row>
    <row r="5" spans="1:14" x14ac:dyDescent="0.25">
      <c r="A5" s="4" t="s">
        <v>3</v>
      </c>
    </row>
    <row r="6" spans="1:14" x14ac:dyDescent="0.25">
      <c r="A6" s="4" t="s">
        <v>4</v>
      </c>
    </row>
    <row r="7" spans="1:14" x14ac:dyDescent="0.25">
      <c r="A7" s="4" t="s">
        <v>5</v>
      </c>
    </row>
    <row r="8" spans="1:14" x14ac:dyDescent="0.25">
      <c r="A8" s="4" t="s">
        <v>6</v>
      </c>
    </row>
    <row r="10" spans="1:14" ht="30" customHeight="1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</row>
    <row r="11" spans="1:14" x14ac:dyDescent="0.25">
      <c r="A11" s="6" t="s">
        <v>21</v>
      </c>
      <c r="B11" s="6" t="s">
        <v>22</v>
      </c>
      <c r="C11" s="6" t="s">
        <v>23</v>
      </c>
      <c r="D11" s="6" t="s">
        <v>23</v>
      </c>
      <c r="E11" s="7">
        <v>10</v>
      </c>
      <c r="F11" s="6">
        <v>20</v>
      </c>
      <c r="G11" s="7">
        <v>25</v>
      </c>
      <c r="H11" s="6">
        <v>50</v>
      </c>
      <c r="I11" s="7">
        <v>22</v>
      </c>
      <c r="J11" s="6">
        <v>100</v>
      </c>
      <c r="K11" s="7">
        <v>20</v>
      </c>
      <c r="L11" s="8">
        <f t="shared" ref="L11:L42" si="0">IFERROR(G11/$E11,"")</f>
        <v>2.5</v>
      </c>
      <c r="M11" s="8">
        <f t="shared" ref="M11:M42" si="1">IFERROR(I11/$E11,"")</f>
        <v>2.2000000000000002</v>
      </c>
      <c r="N11" s="8">
        <f t="shared" ref="N11:N42" si="2">IFERROR(K11/$E11,"")</f>
        <v>2</v>
      </c>
    </row>
    <row r="12" spans="1:14" x14ac:dyDescent="0.25">
      <c r="A12" s="9" t="s">
        <v>24</v>
      </c>
      <c r="B12" s="10" t="s">
        <v>25</v>
      </c>
      <c r="C12" s="11" t="s">
        <v>26</v>
      </c>
      <c r="D12" s="11" t="s">
        <v>27</v>
      </c>
      <c r="E12" s="12">
        <v>10.5</v>
      </c>
      <c r="F12" s="13">
        <v>20</v>
      </c>
      <c r="G12" s="14">
        <v>27.3</v>
      </c>
      <c r="H12" s="13">
        <v>50</v>
      </c>
      <c r="I12" s="14">
        <v>24.15</v>
      </c>
      <c r="J12" s="13">
        <v>100</v>
      </c>
      <c r="K12" s="14">
        <v>22.05</v>
      </c>
      <c r="L12" s="15">
        <f t="shared" si="0"/>
        <v>2.6</v>
      </c>
      <c r="M12" s="16">
        <f t="shared" si="1"/>
        <v>2.2999999999999998</v>
      </c>
      <c r="N12" s="16">
        <f t="shared" si="2"/>
        <v>2.1</v>
      </c>
    </row>
    <row r="13" spans="1:14" x14ac:dyDescent="0.25">
      <c r="A13" s="9" t="s">
        <v>28</v>
      </c>
      <c r="B13" s="10" t="s">
        <v>29</v>
      </c>
      <c r="C13" s="11" t="s">
        <v>26</v>
      </c>
      <c r="D13" s="11" t="s">
        <v>27</v>
      </c>
      <c r="E13" s="12">
        <v>28</v>
      </c>
      <c r="F13" s="13">
        <v>20</v>
      </c>
      <c r="G13" s="14">
        <v>67.2</v>
      </c>
      <c r="H13" s="13">
        <v>50</v>
      </c>
      <c r="I13" s="14">
        <v>58.8</v>
      </c>
      <c r="J13" s="13">
        <v>100</v>
      </c>
      <c r="K13" s="14">
        <v>53.2</v>
      </c>
      <c r="L13" s="15">
        <f t="shared" si="0"/>
        <v>2.4</v>
      </c>
      <c r="M13" s="16">
        <f t="shared" si="1"/>
        <v>2.1</v>
      </c>
      <c r="N13" s="16">
        <f t="shared" si="2"/>
        <v>1.9000000000000001</v>
      </c>
    </row>
    <row r="14" spans="1:14" x14ac:dyDescent="0.25">
      <c r="A14" s="9" t="s">
        <v>30</v>
      </c>
      <c r="B14" s="10" t="s">
        <v>31</v>
      </c>
      <c r="C14" s="11" t="s">
        <v>26</v>
      </c>
      <c r="D14" s="11" t="s">
        <v>27</v>
      </c>
      <c r="E14" s="12">
        <v>12.2</v>
      </c>
      <c r="F14" s="13">
        <v>20</v>
      </c>
      <c r="G14" s="14">
        <v>31.72</v>
      </c>
      <c r="H14" s="13">
        <v>50</v>
      </c>
      <c r="I14" s="14">
        <v>28.06</v>
      </c>
      <c r="J14" s="13">
        <v>100</v>
      </c>
      <c r="K14" s="14">
        <v>25.62</v>
      </c>
      <c r="L14" s="16">
        <f t="shared" si="0"/>
        <v>2.6</v>
      </c>
      <c r="M14" s="16">
        <f t="shared" si="1"/>
        <v>2.2999999999999998</v>
      </c>
      <c r="N14" s="16">
        <f t="shared" si="2"/>
        <v>2.1</v>
      </c>
    </row>
    <row r="15" spans="1:14" x14ac:dyDescent="0.25">
      <c r="A15" s="9" t="s">
        <v>32</v>
      </c>
      <c r="B15" s="10" t="s">
        <v>33</v>
      </c>
      <c r="C15" s="11" t="s">
        <v>26</v>
      </c>
      <c r="D15" s="11" t="s">
        <v>27</v>
      </c>
      <c r="E15" s="12">
        <v>10.5</v>
      </c>
      <c r="F15" s="13">
        <v>20</v>
      </c>
      <c r="G15" s="17">
        <v>27.9</v>
      </c>
      <c r="H15" s="13">
        <v>50</v>
      </c>
      <c r="I15" s="17">
        <v>25.49</v>
      </c>
      <c r="J15" s="13">
        <v>100</v>
      </c>
      <c r="K15" s="17">
        <v>24.9</v>
      </c>
      <c r="L15" s="15">
        <f t="shared" si="0"/>
        <v>2.657142857142857</v>
      </c>
      <c r="M15" s="16">
        <f t="shared" si="1"/>
        <v>2.4276190476190473</v>
      </c>
      <c r="N15" s="16">
        <f t="shared" si="2"/>
        <v>2.3714285714285714</v>
      </c>
    </row>
    <row r="16" spans="1:14" x14ac:dyDescent="0.25">
      <c r="A16" s="9" t="s">
        <v>34</v>
      </c>
      <c r="B16" s="10" t="s">
        <v>35</v>
      </c>
      <c r="C16" s="11" t="s">
        <v>26</v>
      </c>
      <c r="D16" s="11" t="s">
        <v>27</v>
      </c>
      <c r="E16" s="12">
        <v>6.2</v>
      </c>
      <c r="F16" s="13">
        <v>20</v>
      </c>
      <c r="G16" s="17">
        <v>18.899999999999999</v>
      </c>
      <c r="H16" s="13">
        <v>50</v>
      </c>
      <c r="I16" s="17">
        <v>17.899999999999999</v>
      </c>
      <c r="J16" s="13">
        <v>100</v>
      </c>
      <c r="K16" s="17">
        <v>16.899999999999999</v>
      </c>
      <c r="L16" s="16">
        <f t="shared" si="0"/>
        <v>3.0483870967741931</v>
      </c>
      <c r="M16" s="16">
        <f t="shared" si="1"/>
        <v>2.887096774193548</v>
      </c>
      <c r="N16" s="16">
        <f t="shared" si="2"/>
        <v>2.725806451612903</v>
      </c>
    </row>
    <row r="17" spans="1:14" x14ac:dyDescent="0.25">
      <c r="A17" s="9" t="s">
        <v>36</v>
      </c>
      <c r="B17" s="10" t="s">
        <v>37</v>
      </c>
      <c r="C17" s="11" t="s">
        <v>26</v>
      </c>
      <c r="D17" s="11" t="s">
        <v>27</v>
      </c>
      <c r="E17" s="12">
        <v>10.5</v>
      </c>
      <c r="F17" s="13">
        <v>20</v>
      </c>
      <c r="G17" s="17">
        <v>27.9</v>
      </c>
      <c r="H17" s="13">
        <v>50</v>
      </c>
      <c r="I17" s="17">
        <v>24.9</v>
      </c>
      <c r="J17" s="13">
        <v>100</v>
      </c>
      <c r="K17" s="17">
        <v>23.9</v>
      </c>
      <c r="L17" s="15">
        <f t="shared" si="0"/>
        <v>2.657142857142857</v>
      </c>
      <c r="M17" s="16">
        <f t="shared" si="1"/>
        <v>2.3714285714285714</v>
      </c>
      <c r="N17" s="16">
        <f t="shared" si="2"/>
        <v>2.2761904761904761</v>
      </c>
    </row>
    <row r="18" spans="1:14" x14ac:dyDescent="0.25">
      <c r="A18" s="9" t="s">
        <v>38</v>
      </c>
      <c r="B18" s="10" t="s">
        <v>39</v>
      </c>
      <c r="C18" s="11" t="s">
        <v>26</v>
      </c>
      <c r="D18" s="11" t="s">
        <v>27</v>
      </c>
      <c r="E18" s="12">
        <v>7.5</v>
      </c>
      <c r="F18" s="13">
        <v>20</v>
      </c>
      <c r="G18" s="17">
        <v>18.75</v>
      </c>
      <c r="H18" s="13">
        <v>50</v>
      </c>
      <c r="I18" s="17">
        <v>17.899999999999999</v>
      </c>
      <c r="J18" s="13">
        <v>100</v>
      </c>
      <c r="K18" s="17">
        <v>16.899999999999999</v>
      </c>
      <c r="L18" s="16">
        <f t="shared" si="0"/>
        <v>2.5</v>
      </c>
      <c r="M18" s="16">
        <f t="shared" si="1"/>
        <v>2.3866666666666663</v>
      </c>
      <c r="N18" s="16">
        <f t="shared" si="2"/>
        <v>2.253333333333333</v>
      </c>
    </row>
    <row r="19" spans="1:14" x14ac:dyDescent="0.25">
      <c r="A19" s="9" t="s">
        <v>40</v>
      </c>
      <c r="B19" s="10" t="s">
        <v>41</v>
      </c>
      <c r="C19" s="11" t="s">
        <v>26</v>
      </c>
      <c r="D19" s="11" t="s">
        <v>27</v>
      </c>
      <c r="E19" s="12">
        <v>10.8</v>
      </c>
      <c r="F19" s="13">
        <v>20</v>
      </c>
      <c r="G19" s="17">
        <v>26.9</v>
      </c>
      <c r="H19" s="13">
        <v>50</v>
      </c>
      <c r="I19" s="17">
        <v>25.9</v>
      </c>
      <c r="J19" s="13">
        <v>100</v>
      </c>
      <c r="K19" s="17">
        <v>24.9</v>
      </c>
      <c r="L19" s="15">
        <f t="shared" si="0"/>
        <v>2.4907407407407405</v>
      </c>
      <c r="M19" s="16">
        <f t="shared" si="1"/>
        <v>2.3981481481481479</v>
      </c>
      <c r="N19" s="16">
        <f t="shared" si="2"/>
        <v>2.3055555555555554</v>
      </c>
    </row>
    <row r="20" spans="1:14" x14ac:dyDescent="0.25">
      <c r="A20" s="9" t="s">
        <v>42</v>
      </c>
      <c r="B20" s="10" t="s">
        <v>43</v>
      </c>
      <c r="C20" s="11" t="s">
        <v>26</v>
      </c>
      <c r="D20" s="11" t="s">
        <v>27</v>
      </c>
      <c r="E20" s="12">
        <v>18.5</v>
      </c>
      <c r="F20" s="13">
        <v>20</v>
      </c>
      <c r="G20" s="17">
        <v>42.9</v>
      </c>
      <c r="H20" s="13">
        <v>50</v>
      </c>
      <c r="I20" s="17">
        <v>39.9</v>
      </c>
      <c r="J20" s="13">
        <v>100</v>
      </c>
      <c r="K20" s="17">
        <v>37.9</v>
      </c>
      <c r="L20" s="16">
        <f t="shared" si="0"/>
        <v>2.3189189189189188</v>
      </c>
      <c r="M20" s="16">
        <f t="shared" si="1"/>
        <v>2.1567567567567565</v>
      </c>
      <c r="N20" s="16">
        <f t="shared" si="2"/>
        <v>2.0486486486486486</v>
      </c>
    </row>
    <row r="21" spans="1:14" x14ac:dyDescent="0.25">
      <c r="A21" s="9" t="s">
        <v>44</v>
      </c>
      <c r="B21" s="10" t="s">
        <v>45</v>
      </c>
      <c r="C21" s="11" t="s">
        <v>26</v>
      </c>
      <c r="D21" s="11" t="s">
        <v>27</v>
      </c>
      <c r="E21" s="12">
        <v>6.9</v>
      </c>
      <c r="F21" s="13">
        <v>20</v>
      </c>
      <c r="G21" s="17">
        <v>21.9</v>
      </c>
      <c r="H21" s="13">
        <v>50</v>
      </c>
      <c r="I21" s="17">
        <v>19.899999999999999</v>
      </c>
      <c r="J21" s="13">
        <v>100</v>
      </c>
      <c r="K21" s="17">
        <v>17.899999999999999</v>
      </c>
      <c r="L21" s="16">
        <f t="shared" si="0"/>
        <v>3.1739130434782603</v>
      </c>
      <c r="M21" s="16">
        <f t="shared" si="1"/>
        <v>2.8840579710144922</v>
      </c>
      <c r="N21" s="16">
        <f t="shared" si="2"/>
        <v>2.5942028985507242</v>
      </c>
    </row>
    <row r="22" spans="1:14" x14ac:dyDescent="0.25">
      <c r="A22" s="9" t="s">
        <v>46</v>
      </c>
      <c r="B22" s="10" t="s">
        <v>47</v>
      </c>
      <c r="C22" s="11" t="s">
        <v>26</v>
      </c>
      <c r="D22" s="11" t="s">
        <v>27</v>
      </c>
      <c r="E22" s="12">
        <v>7.9</v>
      </c>
      <c r="F22" s="13">
        <v>20</v>
      </c>
      <c r="G22" s="17">
        <v>19.899999999999999</v>
      </c>
      <c r="H22" s="13">
        <v>50</v>
      </c>
      <c r="I22" s="17">
        <v>18.899999999999999</v>
      </c>
      <c r="J22" s="13">
        <v>100</v>
      </c>
      <c r="K22" s="17">
        <v>17.899999999999999</v>
      </c>
      <c r="L22" s="16">
        <f t="shared" si="0"/>
        <v>2.5189873417721516</v>
      </c>
      <c r="M22" s="16">
        <f t="shared" si="1"/>
        <v>2.3924050632911391</v>
      </c>
      <c r="N22" s="16">
        <f t="shared" si="2"/>
        <v>2.2658227848101262</v>
      </c>
    </row>
    <row r="23" spans="1:14" x14ac:dyDescent="0.25">
      <c r="A23" s="9" t="s">
        <v>48</v>
      </c>
      <c r="B23" s="10" t="s">
        <v>49</v>
      </c>
      <c r="C23" s="11" t="s">
        <v>26</v>
      </c>
      <c r="D23" s="11" t="s">
        <v>27</v>
      </c>
      <c r="E23" s="12">
        <v>15.8</v>
      </c>
      <c r="F23" s="13">
        <v>20</v>
      </c>
      <c r="G23" s="17">
        <v>37.9</v>
      </c>
      <c r="H23" s="13">
        <v>50</v>
      </c>
      <c r="I23" s="17">
        <v>35.9</v>
      </c>
      <c r="J23" s="13">
        <v>100</v>
      </c>
      <c r="K23" s="17">
        <v>32.9</v>
      </c>
      <c r="L23" s="16">
        <f t="shared" si="0"/>
        <v>2.3987341772151898</v>
      </c>
      <c r="M23" s="16">
        <f t="shared" si="1"/>
        <v>2.2721518987341769</v>
      </c>
      <c r="N23" s="16">
        <f t="shared" si="2"/>
        <v>2.0822784810126582</v>
      </c>
    </row>
    <row r="24" spans="1:14" x14ac:dyDescent="0.25">
      <c r="A24" s="9" t="s">
        <v>50</v>
      </c>
      <c r="B24" s="10" t="s">
        <v>51</v>
      </c>
      <c r="C24" s="11" t="s">
        <v>26</v>
      </c>
      <c r="D24" s="11" t="s">
        <v>27</v>
      </c>
      <c r="E24" s="12">
        <v>18.5</v>
      </c>
      <c r="F24" s="13">
        <v>20</v>
      </c>
      <c r="G24" s="17">
        <v>42.64</v>
      </c>
      <c r="H24" s="13">
        <v>50</v>
      </c>
      <c r="I24" s="17">
        <v>38.9</v>
      </c>
      <c r="J24" s="13">
        <v>100</v>
      </c>
      <c r="K24" s="17">
        <v>35.9</v>
      </c>
      <c r="L24" s="16">
        <f t="shared" si="0"/>
        <v>2.3048648648648649</v>
      </c>
      <c r="M24" s="16">
        <f t="shared" si="1"/>
        <v>2.1027027027027025</v>
      </c>
      <c r="N24" s="16">
        <f t="shared" si="2"/>
        <v>1.9405405405405405</v>
      </c>
    </row>
    <row r="25" spans="1:14" x14ac:dyDescent="0.25">
      <c r="A25" s="9" t="s">
        <v>52</v>
      </c>
      <c r="B25" s="10" t="s">
        <v>53</v>
      </c>
      <c r="C25" s="11" t="s">
        <v>26</v>
      </c>
      <c r="D25" s="11" t="s">
        <v>27</v>
      </c>
      <c r="E25" s="12">
        <v>30.9</v>
      </c>
      <c r="F25" s="13">
        <v>20</v>
      </c>
      <c r="G25" s="17">
        <v>69.900000000000006</v>
      </c>
      <c r="H25" s="13">
        <v>50</v>
      </c>
      <c r="I25" s="17">
        <v>59.9</v>
      </c>
      <c r="J25" s="13">
        <v>100</v>
      </c>
      <c r="K25" s="17">
        <v>54.9</v>
      </c>
      <c r="L25" s="16">
        <f t="shared" si="0"/>
        <v>2.2621359223300974</v>
      </c>
      <c r="M25" s="16">
        <f t="shared" si="1"/>
        <v>1.9385113268608414</v>
      </c>
      <c r="N25" s="16">
        <f t="shared" si="2"/>
        <v>1.7766990291262137</v>
      </c>
    </row>
    <row r="26" spans="1:14" x14ac:dyDescent="0.25">
      <c r="A26" s="9" t="s">
        <v>54</v>
      </c>
      <c r="B26" s="10" t="s">
        <v>55</v>
      </c>
      <c r="C26" s="11" t="s">
        <v>26</v>
      </c>
      <c r="D26" s="11" t="s">
        <v>27</v>
      </c>
      <c r="E26" s="12">
        <v>27.9</v>
      </c>
      <c r="F26" s="13">
        <v>20</v>
      </c>
      <c r="G26" s="17">
        <v>69.900000000000006</v>
      </c>
      <c r="H26" s="13">
        <v>50</v>
      </c>
      <c r="I26" s="17">
        <v>59.9</v>
      </c>
      <c r="J26" s="13">
        <v>100</v>
      </c>
      <c r="K26" s="17">
        <v>54.9</v>
      </c>
      <c r="L26" s="16">
        <f t="shared" si="0"/>
        <v>2.5053763440860219</v>
      </c>
      <c r="M26" s="16">
        <f t="shared" si="1"/>
        <v>2.1469534050179213</v>
      </c>
      <c r="N26" s="16">
        <f t="shared" si="2"/>
        <v>1.967741935483871</v>
      </c>
    </row>
    <row r="27" spans="1:14" x14ac:dyDescent="0.25">
      <c r="A27" s="9" t="s">
        <v>56</v>
      </c>
      <c r="B27" s="10" t="s">
        <v>57</v>
      </c>
      <c r="C27" s="11" t="s">
        <v>26</v>
      </c>
      <c r="D27" s="11" t="s">
        <v>27</v>
      </c>
      <c r="E27" s="12">
        <v>6.8</v>
      </c>
      <c r="F27" s="13">
        <v>20</v>
      </c>
      <c r="G27" s="17">
        <v>19.899999999999999</v>
      </c>
      <c r="H27" s="13">
        <v>50</v>
      </c>
      <c r="I27" s="17">
        <v>17.899999999999999</v>
      </c>
      <c r="J27" s="13">
        <v>100</v>
      </c>
      <c r="K27" s="17">
        <v>14.9</v>
      </c>
      <c r="L27" s="16">
        <f t="shared" si="0"/>
        <v>2.9264705882352939</v>
      </c>
      <c r="M27" s="16">
        <f t="shared" si="1"/>
        <v>2.6323529411764706</v>
      </c>
      <c r="N27" s="16">
        <f t="shared" si="2"/>
        <v>2.1911764705882355</v>
      </c>
    </row>
    <row r="28" spans="1:14" x14ac:dyDescent="0.25">
      <c r="A28" s="9" t="s">
        <v>58</v>
      </c>
      <c r="B28" s="10" t="s">
        <v>59</v>
      </c>
      <c r="C28" s="11" t="s">
        <v>26</v>
      </c>
      <c r="D28" s="11" t="s">
        <v>27</v>
      </c>
      <c r="E28" s="12">
        <v>22</v>
      </c>
      <c r="F28" s="13">
        <v>20</v>
      </c>
      <c r="G28" s="17">
        <v>69.900000000000006</v>
      </c>
      <c r="H28" s="13">
        <v>50</v>
      </c>
      <c r="I28" s="17">
        <v>59.9</v>
      </c>
      <c r="J28" s="13">
        <v>100</v>
      </c>
      <c r="K28" s="17">
        <v>54.9</v>
      </c>
      <c r="L28" s="15">
        <f t="shared" si="0"/>
        <v>3.1772727272727277</v>
      </c>
      <c r="M28" s="16">
        <f t="shared" si="1"/>
        <v>2.7227272727272727</v>
      </c>
      <c r="N28" s="16">
        <f t="shared" si="2"/>
        <v>2.4954545454545456</v>
      </c>
    </row>
    <row r="29" spans="1:14" x14ac:dyDescent="0.25">
      <c r="A29" s="9" t="s">
        <v>60</v>
      </c>
      <c r="B29" s="10" t="s">
        <v>61</v>
      </c>
      <c r="C29" s="11" t="s">
        <v>26</v>
      </c>
      <c r="D29" s="11" t="s">
        <v>27</v>
      </c>
      <c r="E29" s="12">
        <v>24.5</v>
      </c>
      <c r="F29" s="13">
        <v>20</v>
      </c>
      <c r="G29" s="17">
        <v>49.9</v>
      </c>
      <c r="H29" s="13">
        <v>50</v>
      </c>
      <c r="I29" s="17">
        <v>47.9</v>
      </c>
      <c r="J29" s="13">
        <v>100</v>
      </c>
      <c r="K29" s="17">
        <v>44.9</v>
      </c>
      <c r="L29" s="16">
        <f t="shared" si="0"/>
        <v>2.036734693877551</v>
      </c>
      <c r="M29" s="16">
        <f t="shared" si="1"/>
        <v>1.9551020408163264</v>
      </c>
      <c r="N29" s="16">
        <f t="shared" si="2"/>
        <v>1.8326530612244898</v>
      </c>
    </row>
    <row r="30" spans="1:14" x14ac:dyDescent="0.25">
      <c r="A30" s="9" t="s">
        <v>62</v>
      </c>
      <c r="B30" s="10" t="s">
        <v>63</v>
      </c>
      <c r="C30" s="11" t="s">
        <v>26</v>
      </c>
      <c r="D30" s="11" t="s">
        <v>64</v>
      </c>
      <c r="E30" s="12">
        <v>36.5</v>
      </c>
      <c r="F30" s="13">
        <v>20</v>
      </c>
      <c r="G30" s="17">
        <v>79.900000000000006</v>
      </c>
      <c r="H30" s="13">
        <v>50</v>
      </c>
      <c r="I30" s="17">
        <v>69.900000000000006</v>
      </c>
      <c r="J30" s="13">
        <v>100</v>
      </c>
      <c r="K30" s="17">
        <v>66.900000000000006</v>
      </c>
      <c r="L30" s="16">
        <f t="shared" si="0"/>
        <v>2.1890410958904112</v>
      </c>
      <c r="M30" s="16">
        <f t="shared" si="1"/>
        <v>1.9150684931506852</v>
      </c>
      <c r="N30" s="16">
        <f t="shared" si="2"/>
        <v>1.8328767123287673</v>
      </c>
    </row>
    <row r="31" spans="1:14" x14ac:dyDescent="0.25">
      <c r="A31" s="9" t="s">
        <v>65</v>
      </c>
      <c r="B31" s="10" t="s">
        <v>66</v>
      </c>
      <c r="C31" s="11" t="s">
        <v>26</v>
      </c>
      <c r="D31" s="11" t="s">
        <v>64</v>
      </c>
      <c r="E31" s="12">
        <v>14.9</v>
      </c>
      <c r="F31" s="13">
        <v>20</v>
      </c>
      <c r="G31" s="14">
        <v>38.74</v>
      </c>
      <c r="H31" s="13">
        <v>50</v>
      </c>
      <c r="I31" s="14">
        <v>34.270000000000003</v>
      </c>
      <c r="J31" s="13">
        <v>100</v>
      </c>
      <c r="K31" s="14">
        <v>31.29</v>
      </c>
      <c r="L31" s="16">
        <f t="shared" si="0"/>
        <v>2.6</v>
      </c>
      <c r="M31" s="16">
        <f t="shared" si="1"/>
        <v>2.3000000000000003</v>
      </c>
      <c r="N31" s="16">
        <f t="shared" si="2"/>
        <v>2.1</v>
      </c>
    </row>
    <row r="32" spans="1:14" x14ac:dyDescent="0.25">
      <c r="A32" s="9" t="s">
        <v>67</v>
      </c>
      <c r="B32" s="10" t="s">
        <v>68</v>
      </c>
      <c r="C32" s="11" t="s">
        <v>26</v>
      </c>
      <c r="D32" s="11" t="s">
        <v>64</v>
      </c>
      <c r="E32" s="12">
        <v>20.9</v>
      </c>
      <c r="F32" s="13">
        <v>20</v>
      </c>
      <c r="G32" s="14">
        <v>49.9</v>
      </c>
      <c r="H32" s="13">
        <v>50</v>
      </c>
      <c r="I32" s="14">
        <v>47.9</v>
      </c>
      <c r="J32" s="13">
        <v>100</v>
      </c>
      <c r="K32" s="14">
        <v>44.9</v>
      </c>
      <c r="L32" s="16">
        <f t="shared" si="0"/>
        <v>2.3875598086124401</v>
      </c>
      <c r="M32" s="16">
        <f t="shared" si="1"/>
        <v>2.2918660287081343</v>
      </c>
      <c r="N32" s="16">
        <f t="shared" si="2"/>
        <v>2.1483253588516749</v>
      </c>
    </row>
    <row r="33" spans="1:14" x14ac:dyDescent="0.25">
      <c r="A33" s="9" t="s">
        <v>69</v>
      </c>
      <c r="B33" s="10" t="s">
        <v>70</v>
      </c>
      <c r="C33" s="11" t="s">
        <v>26</v>
      </c>
      <c r="D33" s="11" t="s">
        <v>64</v>
      </c>
      <c r="E33" s="12">
        <v>65</v>
      </c>
      <c r="F33" s="13">
        <v>20</v>
      </c>
      <c r="G33" s="14">
        <v>129.9</v>
      </c>
      <c r="H33" s="13">
        <v>50</v>
      </c>
      <c r="I33" s="14">
        <v>124.9</v>
      </c>
      <c r="J33" s="13">
        <v>100</v>
      </c>
      <c r="K33" s="14">
        <v>114.9</v>
      </c>
      <c r="L33" s="16">
        <f t="shared" si="0"/>
        <v>1.9984615384615385</v>
      </c>
      <c r="M33" s="16">
        <f t="shared" si="1"/>
        <v>1.9215384615384616</v>
      </c>
      <c r="N33" s="16">
        <f t="shared" si="2"/>
        <v>1.7676923076923077</v>
      </c>
    </row>
    <row r="34" spans="1:14" x14ac:dyDescent="0.25">
      <c r="A34" s="9" t="s">
        <v>71</v>
      </c>
      <c r="B34" s="10" t="s">
        <v>72</v>
      </c>
      <c r="C34" s="11" t="s">
        <v>26</v>
      </c>
      <c r="D34" s="11" t="s">
        <v>64</v>
      </c>
      <c r="E34" s="12">
        <v>10.9</v>
      </c>
      <c r="F34" s="13">
        <v>20</v>
      </c>
      <c r="G34" s="14">
        <v>28.34</v>
      </c>
      <c r="H34" s="13">
        <v>50</v>
      </c>
      <c r="I34" s="14">
        <v>25.07</v>
      </c>
      <c r="J34" s="13">
        <v>100</v>
      </c>
      <c r="K34" s="14">
        <v>22.89</v>
      </c>
      <c r="L34" s="16">
        <f t="shared" si="0"/>
        <v>2.6</v>
      </c>
      <c r="M34" s="16">
        <f t="shared" si="1"/>
        <v>2.2999999999999998</v>
      </c>
      <c r="N34" s="16">
        <f t="shared" si="2"/>
        <v>2.1</v>
      </c>
    </row>
    <row r="35" spans="1:14" x14ac:dyDescent="0.25">
      <c r="A35" s="9" t="s">
        <v>73</v>
      </c>
      <c r="B35" s="10" t="s">
        <v>63</v>
      </c>
      <c r="C35" s="11" t="s">
        <v>26</v>
      </c>
      <c r="D35" s="11" t="s">
        <v>64</v>
      </c>
      <c r="E35" s="12">
        <v>36.5</v>
      </c>
      <c r="F35" s="13">
        <v>20</v>
      </c>
      <c r="G35" s="14">
        <v>87.6</v>
      </c>
      <c r="H35" s="13">
        <v>50</v>
      </c>
      <c r="I35" s="14">
        <v>76.650000000000006</v>
      </c>
      <c r="J35" s="13">
        <v>100</v>
      </c>
      <c r="K35" s="14">
        <v>69.900000000000006</v>
      </c>
      <c r="L35" s="16">
        <f t="shared" si="0"/>
        <v>2.4</v>
      </c>
      <c r="M35" s="16">
        <f t="shared" si="1"/>
        <v>2.1</v>
      </c>
      <c r="N35" s="16">
        <f t="shared" si="2"/>
        <v>1.9150684931506852</v>
      </c>
    </row>
    <row r="36" spans="1:14" x14ac:dyDescent="0.25">
      <c r="A36" s="9" t="s">
        <v>74</v>
      </c>
      <c r="B36" s="10" t="s">
        <v>75</v>
      </c>
      <c r="C36" s="11" t="s">
        <v>26</v>
      </c>
      <c r="D36" s="11" t="s">
        <v>64</v>
      </c>
      <c r="E36" s="12">
        <v>12.5</v>
      </c>
      <c r="F36" s="13">
        <v>20</v>
      </c>
      <c r="G36" s="14">
        <v>32.5</v>
      </c>
      <c r="H36" s="13">
        <v>50</v>
      </c>
      <c r="I36" s="14">
        <v>28.75</v>
      </c>
      <c r="J36" s="13">
        <v>100</v>
      </c>
      <c r="K36" s="14">
        <v>26.25</v>
      </c>
      <c r="L36" s="16">
        <f t="shared" si="0"/>
        <v>2.6</v>
      </c>
      <c r="M36" s="16">
        <f t="shared" si="1"/>
        <v>2.2999999999999998</v>
      </c>
      <c r="N36" s="16">
        <f t="shared" si="2"/>
        <v>2.1</v>
      </c>
    </row>
    <row r="37" spans="1:14" x14ac:dyDescent="0.25">
      <c r="A37" s="9" t="s">
        <v>76</v>
      </c>
      <c r="B37" s="10" t="s">
        <v>77</v>
      </c>
      <c r="C37" s="11" t="s">
        <v>26</v>
      </c>
      <c r="D37" s="11" t="s">
        <v>64</v>
      </c>
      <c r="E37" s="12">
        <v>8.1999999999999993</v>
      </c>
      <c r="F37" s="13">
        <v>20</v>
      </c>
      <c r="G37" s="14">
        <v>24.6</v>
      </c>
      <c r="H37" s="13">
        <v>50</v>
      </c>
      <c r="I37" s="14">
        <v>22.14</v>
      </c>
      <c r="J37" s="13">
        <v>100</v>
      </c>
      <c r="K37" s="14">
        <v>19.68</v>
      </c>
      <c r="L37" s="16">
        <f t="shared" si="0"/>
        <v>3.0000000000000004</v>
      </c>
      <c r="M37" s="16">
        <f t="shared" si="1"/>
        <v>2.7</v>
      </c>
      <c r="N37" s="16">
        <f t="shared" si="2"/>
        <v>2.4000000000000004</v>
      </c>
    </row>
    <row r="38" spans="1:14" x14ac:dyDescent="0.25">
      <c r="A38" s="9" t="s">
        <v>78</v>
      </c>
      <c r="B38" s="10" t="s">
        <v>79</v>
      </c>
      <c r="C38" s="11" t="s">
        <v>26</v>
      </c>
      <c r="D38" s="11" t="s">
        <v>64</v>
      </c>
      <c r="E38" s="12">
        <v>167</v>
      </c>
      <c r="F38" s="13">
        <v>20</v>
      </c>
      <c r="G38" s="14">
        <v>290</v>
      </c>
      <c r="H38" s="13">
        <v>50</v>
      </c>
      <c r="I38" s="14">
        <v>270</v>
      </c>
      <c r="J38" s="13">
        <v>100</v>
      </c>
      <c r="K38" s="14">
        <v>250</v>
      </c>
      <c r="L38" s="16">
        <f t="shared" si="0"/>
        <v>1.7365269461077844</v>
      </c>
      <c r="M38" s="16">
        <f t="shared" si="1"/>
        <v>1.6167664670658684</v>
      </c>
      <c r="N38" s="16">
        <f t="shared" si="2"/>
        <v>1.4970059880239521</v>
      </c>
    </row>
    <row r="39" spans="1:14" x14ac:dyDescent="0.25">
      <c r="A39" s="9" t="s">
        <v>80</v>
      </c>
      <c r="B39" s="10" t="s">
        <v>81</v>
      </c>
      <c r="C39" s="11" t="s">
        <v>26</v>
      </c>
      <c r="D39" s="11" t="s">
        <v>64</v>
      </c>
      <c r="E39" s="12">
        <v>150</v>
      </c>
      <c r="F39" s="13">
        <v>20</v>
      </c>
      <c r="G39" s="14">
        <v>270</v>
      </c>
      <c r="H39" s="13">
        <v>50</v>
      </c>
      <c r="I39" s="14">
        <v>250</v>
      </c>
      <c r="J39" s="13">
        <v>100</v>
      </c>
      <c r="K39" s="14">
        <v>230</v>
      </c>
      <c r="L39" s="16">
        <f t="shared" si="0"/>
        <v>1.8</v>
      </c>
      <c r="M39" s="16">
        <f t="shared" si="1"/>
        <v>1.6666666666666667</v>
      </c>
      <c r="N39" s="16">
        <f t="shared" si="2"/>
        <v>1.5333333333333334</v>
      </c>
    </row>
    <row r="40" spans="1:14" x14ac:dyDescent="0.25">
      <c r="A40" s="9" t="s">
        <v>82</v>
      </c>
      <c r="B40" s="10" t="s">
        <v>83</v>
      </c>
      <c r="C40" s="11" t="s">
        <v>26</v>
      </c>
      <c r="D40" s="11" t="s">
        <v>84</v>
      </c>
      <c r="E40" s="12">
        <v>3.5</v>
      </c>
      <c r="F40" s="13">
        <v>20</v>
      </c>
      <c r="G40" s="14">
        <v>14.9</v>
      </c>
      <c r="H40" s="13">
        <v>50</v>
      </c>
      <c r="I40" s="14">
        <v>12.9</v>
      </c>
      <c r="J40" s="13">
        <v>100</v>
      </c>
      <c r="K40" s="14">
        <v>10.9</v>
      </c>
      <c r="L40" s="16">
        <f t="shared" si="0"/>
        <v>4.2571428571428571</v>
      </c>
      <c r="M40" s="16">
        <f t="shared" si="1"/>
        <v>3.6857142857142859</v>
      </c>
      <c r="N40" s="16">
        <f t="shared" si="2"/>
        <v>3.1142857142857143</v>
      </c>
    </row>
    <row r="41" spans="1:14" x14ac:dyDescent="0.25">
      <c r="A41" s="9" t="s">
        <v>85</v>
      </c>
      <c r="B41" s="10" t="s">
        <v>86</v>
      </c>
      <c r="C41" s="11" t="s">
        <v>26</v>
      </c>
      <c r="D41" s="11" t="s">
        <v>84</v>
      </c>
      <c r="E41" s="12">
        <v>8.5</v>
      </c>
      <c r="F41" s="13">
        <v>20</v>
      </c>
      <c r="G41" s="14">
        <v>25.5</v>
      </c>
      <c r="H41" s="13">
        <v>50</v>
      </c>
      <c r="I41" s="14">
        <v>22.95</v>
      </c>
      <c r="J41" s="13">
        <v>100</v>
      </c>
      <c r="K41" s="14">
        <v>19.899999999999999</v>
      </c>
      <c r="L41" s="16">
        <f t="shared" si="0"/>
        <v>3</v>
      </c>
      <c r="M41" s="16">
        <f t="shared" si="1"/>
        <v>2.6999999999999997</v>
      </c>
      <c r="N41" s="16">
        <f t="shared" si="2"/>
        <v>2.341176470588235</v>
      </c>
    </row>
    <row r="42" spans="1:14" x14ac:dyDescent="0.25">
      <c r="A42" s="9" t="s">
        <v>87</v>
      </c>
      <c r="B42" s="10" t="s">
        <v>88</v>
      </c>
      <c r="C42" s="11" t="s">
        <v>26</v>
      </c>
      <c r="D42" s="11" t="s">
        <v>84</v>
      </c>
      <c r="E42" s="12">
        <v>10.9</v>
      </c>
      <c r="F42" s="13">
        <v>20</v>
      </c>
      <c r="G42" s="14">
        <v>28.34</v>
      </c>
      <c r="H42" s="13">
        <v>50</v>
      </c>
      <c r="I42" s="14">
        <v>25.07</v>
      </c>
      <c r="J42" s="13">
        <v>100</v>
      </c>
      <c r="K42" s="14">
        <v>22.9</v>
      </c>
      <c r="L42" s="16">
        <f t="shared" si="0"/>
        <v>2.6</v>
      </c>
      <c r="M42" s="16">
        <f t="shared" si="1"/>
        <v>2.2999999999999998</v>
      </c>
      <c r="N42" s="16">
        <f t="shared" si="2"/>
        <v>2.1009174311926602</v>
      </c>
    </row>
    <row r="43" spans="1:14" x14ac:dyDescent="0.25">
      <c r="A43" s="9" t="s">
        <v>89</v>
      </c>
      <c r="B43" s="10" t="s">
        <v>90</v>
      </c>
      <c r="C43" s="11" t="s">
        <v>26</v>
      </c>
      <c r="D43" s="11" t="s">
        <v>84</v>
      </c>
      <c r="E43" s="12">
        <v>18.899999999999999</v>
      </c>
      <c r="F43" s="13">
        <v>20</v>
      </c>
      <c r="G43" s="14">
        <v>44.9</v>
      </c>
      <c r="H43" s="13">
        <v>50</v>
      </c>
      <c r="I43" s="14">
        <v>42.9</v>
      </c>
      <c r="J43" s="13">
        <v>100</v>
      </c>
      <c r="K43" s="14">
        <v>39.9</v>
      </c>
      <c r="L43" s="16">
        <f t="shared" ref="L43:L74" si="3">IFERROR(G43/$E43,"")</f>
        <v>2.3756613756613758</v>
      </c>
      <c r="M43" s="16">
        <f t="shared" ref="M43:M74" si="4">IFERROR(I43/$E43,"")</f>
        <v>2.2698412698412698</v>
      </c>
      <c r="N43" s="16">
        <f t="shared" ref="N43:N74" si="5">IFERROR(K43/$E43,"")</f>
        <v>2.1111111111111112</v>
      </c>
    </row>
    <row r="44" spans="1:14" x14ac:dyDescent="0.25">
      <c r="A44" s="9" t="s">
        <v>91</v>
      </c>
      <c r="B44" s="10" t="s">
        <v>92</v>
      </c>
      <c r="C44" s="11" t="s">
        <v>26</v>
      </c>
      <c r="D44" s="11" t="s">
        <v>84</v>
      </c>
      <c r="E44" s="12">
        <v>8.1999999999999993</v>
      </c>
      <c r="F44" s="13">
        <v>20</v>
      </c>
      <c r="G44" s="14">
        <v>24.9</v>
      </c>
      <c r="H44" s="13">
        <v>50</v>
      </c>
      <c r="I44" s="14">
        <v>22.9</v>
      </c>
      <c r="J44" s="13">
        <v>100</v>
      </c>
      <c r="K44" s="14">
        <v>18.899999999999999</v>
      </c>
      <c r="L44" s="16">
        <f t="shared" si="3"/>
        <v>3.0365853658536586</v>
      </c>
      <c r="M44" s="16">
        <f t="shared" si="4"/>
        <v>2.7926829268292686</v>
      </c>
      <c r="N44" s="16">
        <f t="shared" si="5"/>
        <v>2.3048780487804876</v>
      </c>
    </row>
    <row r="45" spans="1:14" x14ac:dyDescent="0.25">
      <c r="A45" s="9" t="s">
        <v>93</v>
      </c>
      <c r="B45" s="10" t="s">
        <v>94</v>
      </c>
      <c r="C45" s="11" t="s">
        <v>26</v>
      </c>
      <c r="D45" s="11" t="s">
        <v>84</v>
      </c>
      <c r="E45" s="12">
        <v>10.9</v>
      </c>
      <c r="F45" s="13">
        <v>20</v>
      </c>
      <c r="G45" s="14">
        <v>32.9</v>
      </c>
      <c r="H45" s="13">
        <v>50</v>
      </c>
      <c r="I45" s="14">
        <v>27.9</v>
      </c>
      <c r="J45" s="13">
        <v>100</v>
      </c>
      <c r="K45" s="14">
        <v>24.9</v>
      </c>
      <c r="L45" s="16">
        <f t="shared" si="3"/>
        <v>3.0183486238532109</v>
      </c>
      <c r="M45" s="16">
        <f t="shared" si="4"/>
        <v>2.5596330275229358</v>
      </c>
      <c r="N45" s="16">
        <f t="shared" si="5"/>
        <v>2.2844036697247705</v>
      </c>
    </row>
    <row r="46" spans="1:14" x14ac:dyDescent="0.25">
      <c r="A46" s="9" t="s">
        <v>95</v>
      </c>
      <c r="B46" s="10" t="s">
        <v>92</v>
      </c>
      <c r="C46" s="11" t="s">
        <v>26</v>
      </c>
      <c r="D46" s="11" t="s">
        <v>84</v>
      </c>
      <c r="E46" s="12">
        <v>33.9</v>
      </c>
      <c r="F46" s="13">
        <v>20</v>
      </c>
      <c r="G46" s="14">
        <v>89.9</v>
      </c>
      <c r="H46" s="13">
        <v>50</v>
      </c>
      <c r="I46" s="14">
        <v>79.900000000000006</v>
      </c>
      <c r="J46" s="13">
        <v>100</v>
      </c>
      <c r="K46" s="14">
        <v>69.900000000000006</v>
      </c>
      <c r="L46" s="16">
        <f t="shared" si="3"/>
        <v>2.6519174041297937</v>
      </c>
      <c r="M46" s="16">
        <f t="shared" si="4"/>
        <v>2.3569321533923309</v>
      </c>
      <c r="N46" s="16">
        <f t="shared" si="5"/>
        <v>2.0619469026548676</v>
      </c>
    </row>
    <row r="47" spans="1:14" x14ac:dyDescent="0.25">
      <c r="A47" s="9" t="s">
        <v>96</v>
      </c>
      <c r="B47" s="10" t="s">
        <v>97</v>
      </c>
      <c r="C47" s="11" t="s">
        <v>26</v>
      </c>
      <c r="D47" s="11" t="s">
        <v>84</v>
      </c>
      <c r="E47" s="12">
        <v>15</v>
      </c>
      <c r="F47" s="13">
        <v>20</v>
      </c>
      <c r="G47" s="14">
        <v>39</v>
      </c>
      <c r="H47" s="13">
        <v>50</v>
      </c>
      <c r="I47" s="14">
        <v>34.5</v>
      </c>
      <c r="J47" s="13">
        <v>100</v>
      </c>
      <c r="K47" s="14">
        <v>31.9</v>
      </c>
      <c r="L47" s="16">
        <f t="shared" si="3"/>
        <v>2.6</v>
      </c>
      <c r="M47" s="16">
        <f t="shared" si="4"/>
        <v>2.2999999999999998</v>
      </c>
      <c r="N47" s="16">
        <f t="shared" si="5"/>
        <v>2.1266666666666665</v>
      </c>
    </row>
    <row r="48" spans="1:14" x14ac:dyDescent="0.25">
      <c r="A48" s="9" t="s">
        <v>98</v>
      </c>
      <c r="B48" s="10" t="s">
        <v>99</v>
      </c>
      <c r="C48" s="11" t="s">
        <v>26</v>
      </c>
      <c r="D48" s="11" t="s">
        <v>84</v>
      </c>
      <c r="E48" s="12">
        <v>13.5</v>
      </c>
      <c r="F48" s="13">
        <v>20</v>
      </c>
      <c r="G48" s="14">
        <v>37</v>
      </c>
      <c r="H48" s="13">
        <v>50</v>
      </c>
      <c r="I48" s="14">
        <v>32.9</v>
      </c>
      <c r="J48" s="13">
        <v>100</v>
      </c>
      <c r="K48" s="14">
        <v>29.9</v>
      </c>
      <c r="L48" s="16">
        <f t="shared" si="3"/>
        <v>2.7407407407407409</v>
      </c>
      <c r="M48" s="16">
        <f t="shared" si="4"/>
        <v>2.4370370370370371</v>
      </c>
      <c r="N48" s="16">
        <f t="shared" si="5"/>
        <v>2.2148148148148148</v>
      </c>
    </row>
    <row r="49" spans="1:14" x14ac:dyDescent="0.25">
      <c r="A49" s="9" t="s">
        <v>100</v>
      </c>
      <c r="B49" s="10" t="s">
        <v>101</v>
      </c>
      <c r="C49" s="11" t="s">
        <v>26</v>
      </c>
      <c r="D49" s="11" t="s">
        <v>102</v>
      </c>
      <c r="E49" s="12">
        <v>4</v>
      </c>
      <c r="F49" s="13">
        <v>20</v>
      </c>
      <c r="G49" s="14">
        <v>19.899999999999999</v>
      </c>
      <c r="H49" s="13">
        <v>50</v>
      </c>
      <c r="I49" s="14">
        <v>15.9</v>
      </c>
      <c r="J49" s="13">
        <v>100</v>
      </c>
      <c r="K49" s="14">
        <v>12.9</v>
      </c>
      <c r="L49" s="16">
        <f t="shared" si="3"/>
        <v>4.9749999999999996</v>
      </c>
      <c r="M49" s="16">
        <f t="shared" si="4"/>
        <v>3.9750000000000001</v>
      </c>
      <c r="N49" s="16">
        <f t="shared" si="5"/>
        <v>3.2250000000000001</v>
      </c>
    </row>
    <row r="50" spans="1:14" x14ac:dyDescent="0.25">
      <c r="A50" s="9" t="s">
        <v>103</v>
      </c>
      <c r="B50" s="10" t="s">
        <v>101</v>
      </c>
      <c r="C50" s="11" t="s">
        <v>26</v>
      </c>
      <c r="D50" s="11" t="s">
        <v>102</v>
      </c>
      <c r="E50" s="12">
        <v>6.8</v>
      </c>
      <c r="F50" s="13">
        <v>20</v>
      </c>
      <c r="G50" s="14">
        <v>24.9</v>
      </c>
      <c r="H50" s="13">
        <v>50</v>
      </c>
      <c r="I50" s="14">
        <v>22.9</v>
      </c>
      <c r="J50" s="13">
        <v>100</v>
      </c>
      <c r="K50" s="14">
        <v>19.899999999999999</v>
      </c>
      <c r="L50" s="16">
        <f t="shared" si="3"/>
        <v>3.6617647058823528</v>
      </c>
      <c r="M50" s="16">
        <f t="shared" si="4"/>
        <v>3.3676470588235294</v>
      </c>
      <c r="N50" s="16">
        <f t="shared" si="5"/>
        <v>2.9264705882352939</v>
      </c>
    </row>
    <row r="51" spans="1:14" x14ac:dyDescent="0.25">
      <c r="A51" s="9" t="s">
        <v>104</v>
      </c>
      <c r="B51" s="10" t="s">
        <v>105</v>
      </c>
      <c r="C51" s="11" t="s">
        <v>26</v>
      </c>
      <c r="D51" s="11" t="s">
        <v>102</v>
      </c>
      <c r="E51" s="12">
        <v>11</v>
      </c>
      <c r="F51" s="13">
        <v>20</v>
      </c>
      <c r="G51" s="14">
        <v>27.9</v>
      </c>
      <c r="H51" s="13">
        <v>50</v>
      </c>
      <c r="I51" s="14">
        <v>25.9</v>
      </c>
      <c r="J51" s="13">
        <v>100</v>
      </c>
      <c r="K51" s="14">
        <v>23.9</v>
      </c>
      <c r="L51" s="15">
        <f t="shared" si="3"/>
        <v>2.5363636363636362</v>
      </c>
      <c r="M51" s="16">
        <f t="shared" si="4"/>
        <v>2.3545454545454545</v>
      </c>
      <c r="N51" s="16">
        <f t="shared" si="5"/>
        <v>2.1727272727272724</v>
      </c>
    </row>
    <row r="52" spans="1:14" x14ac:dyDescent="0.25">
      <c r="A52" s="9" t="s">
        <v>106</v>
      </c>
      <c r="B52" s="10" t="s">
        <v>107</v>
      </c>
      <c r="C52" s="11" t="s">
        <v>26</v>
      </c>
      <c r="D52" s="11" t="s">
        <v>102</v>
      </c>
      <c r="E52" s="12">
        <v>4.9000000000000004</v>
      </c>
      <c r="F52" s="13">
        <v>20</v>
      </c>
      <c r="G52" s="14">
        <v>19.899999999999999</v>
      </c>
      <c r="H52" s="13">
        <v>50</v>
      </c>
      <c r="I52" s="14">
        <v>17.899999999999999</v>
      </c>
      <c r="J52" s="13">
        <v>100</v>
      </c>
      <c r="K52" s="14">
        <v>14.9</v>
      </c>
      <c r="L52" s="16">
        <f t="shared" si="3"/>
        <v>4.0612244897959178</v>
      </c>
      <c r="M52" s="16">
        <f t="shared" si="4"/>
        <v>3.6530612244897953</v>
      </c>
      <c r="N52" s="16">
        <f t="shared" si="5"/>
        <v>3.0408163265306123</v>
      </c>
    </row>
    <row r="53" spans="1:14" x14ac:dyDescent="0.25">
      <c r="A53" s="9" t="s">
        <v>108</v>
      </c>
      <c r="B53" s="10" t="s">
        <v>109</v>
      </c>
      <c r="C53" s="11" t="s">
        <v>26</v>
      </c>
      <c r="D53" s="11" t="s">
        <v>102</v>
      </c>
      <c r="E53" s="12">
        <v>5.7</v>
      </c>
      <c r="F53" s="13">
        <v>20</v>
      </c>
      <c r="G53" s="14">
        <v>20.9</v>
      </c>
      <c r="H53" s="13">
        <v>50</v>
      </c>
      <c r="I53" s="14">
        <v>18.899999999999999</v>
      </c>
      <c r="J53" s="13">
        <v>100</v>
      </c>
      <c r="K53" s="14">
        <v>15.9</v>
      </c>
      <c r="L53" s="16">
        <f t="shared" si="3"/>
        <v>3.6666666666666665</v>
      </c>
      <c r="M53" s="16">
        <f t="shared" si="4"/>
        <v>3.3157894736842102</v>
      </c>
      <c r="N53" s="16">
        <f t="shared" si="5"/>
        <v>2.7894736842105261</v>
      </c>
    </row>
    <row r="54" spans="1:14" x14ac:dyDescent="0.25">
      <c r="A54" s="9" t="s">
        <v>110</v>
      </c>
      <c r="B54" s="10" t="s">
        <v>111</v>
      </c>
      <c r="C54" s="11" t="s">
        <v>26</v>
      </c>
      <c r="D54" s="11" t="s">
        <v>102</v>
      </c>
      <c r="E54" s="12">
        <v>0.88</v>
      </c>
      <c r="F54" s="13">
        <v>100</v>
      </c>
      <c r="G54" s="14">
        <v>5.97</v>
      </c>
      <c r="H54" s="13">
        <v>200</v>
      </c>
      <c r="I54" s="14">
        <v>4.97</v>
      </c>
      <c r="J54" s="13">
        <v>1000</v>
      </c>
      <c r="K54" s="14">
        <v>2.09</v>
      </c>
      <c r="L54" s="16">
        <f t="shared" si="3"/>
        <v>6.7840909090909092</v>
      </c>
      <c r="M54" s="16">
        <f t="shared" si="4"/>
        <v>5.6477272727272725</v>
      </c>
      <c r="N54" s="16">
        <f t="shared" si="5"/>
        <v>2.375</v>
      </c>
    </row>
    <row r="55" spans="1:14" x14ac:dyDescent="0.25">
      <c r="A55" s="9" t="s">
        <v>112</v>
      </c>
      <c r="B55" s="10" t="s">
        <v>113</v>
      </c>
      <c r="C55" s="11" t="s">
        <v>26</v>
      </c>
      <c r="D55" s="11" t="s">
        <v>102</v>
      </c>
      <c r="E55" s="12">
        <v>1.5</v>
      </c>
      <c r="F55" s="13">
        <v>100</v>
      </c>
      <c r="G55" s="14">
        <v>4.9000000000000004</v>
      </c>
      <c r="H55" s="13">
        <v>200</v>
      </c>
      <c r="I55" s="14">
        <v>3.49</v>
      </c>
      <c r="J55" s="13">
        <v>1000</v>
      </c>
      <c r="K55" s="14">
        <v>2.99</v>
      </c>
      <c r="L55" s="16">
        <f t="shared" si="3"/>
        <v>3.2666666666666671</v>
      </c>
      <c r="M55" s="16">
        <f t="shared" si="4"/>
        <v>2.3266666666666667</v>
      </c>
      <c r="N55" s="16">
        <f t="shared" si="5"/>
        <v>1.9933333333333334</v>
      </c>
    </row>
    <row r="56" spans="1:14" x14ac:dyDescent="0.25">
      <c r="A56" s="9" t="s">
        <v>114</v>
      </c>
      <c r="B56" s="10" t="s">
        <v>115</v>
      </c>
      <c r="C56" s="11" t="s">
        <v>26</v>
      </c>
      <c r="D56" s="11" t="s">
        <v>102</v>
      </c>
      <c r="E56" s="12">
        <v>1.2</v>
      </c>
      <c r="F56" s="13">
        <v>100</v>
      </c>
      <c r="G56" s="14">
        <v>6.97</v>
      </c>
      <c r="H56" s="13">
        <v>200</v>
      </c>
      <c r="I56" s="14">
        <v>4.99</v>
      </c>
      <c r="J56" s="13">
        <v>1000</v>
      </c>
      <c r="K56" s="14">
        <v>2.79</v>
      </c>
      <c r="L56" s="16">
        <f t="shared" si="3"/>
        <v>5.8083333333333336</v>
      </c>
      <c r="M56" s="16">
        <f t="shared" si="4"/>
        <v>4.1583333333333341</v>
      </c>
      <c r="N56" s="16">
        <f t="shared" si="5"/>
        <v>2.3250000000000002</v>
      </c>
    </row>
    <row r="57" spans="1:14" x14ac:dyDescent="0.25">
      <c r="A57" s="9" t="s">
        <v>116</v>
      </c>
      <c r="B57" s="10" t="s">
        <v>117</v>
      </c>
      <c r="C57" s="11" t="s">
        <v>26</v>
      </c>
      <c r="D57" s="11" t="s">
        <v>102</v>
      </c>
      <c r="E57" s="12">
        <v>1.8</v>
      </c>
      <c r="F57" s="13">
        <v>100</v>
      </c>
      <c r="G57" s="14">
        <v>4.99</v>
      </c>
      <c r="H57" s="13">
        <v>200</v>
      </c>
      <c r="I57" s="14">
        <v>3.99</v>
      </c>
      <c r="J57" s="13">
        <v>1000</v>
      </c>
      <c r="K57" s="14">
        <v>3.49</v>
      </c>
      <c r="L57" s="16">
        <f t="shared" si="3"/>
        <v>2.7722222222222221</v>
      </c>
      <c r="M57" s="16">
        <f t="shared" si="4"/>
        <v>2.2166666666666668</v>
      </c>
      <c r="N57" s="16">
        <f t="shared" si="5"/>
        <v>1.9388888888888889</v>
      </c>
    </row>
    <row r="58" spans="1:14" x14ac:dyDescent="0.25">
      <c r="A58" s="9" t="s">
        <v>118</v>
      </c>
      <c r="B58" s="10" t="s">
        <v>119</v>
      </c>
      <c r="C58" s="11" t="s">
        <v>26</v>
      </c>
      <c r="D58" s="11" t="s">
        <v>120</v>
      </c>
      <c r="E58" s="12">
        <v>0.83</v>
      </c>
      <c r="F58" s="13">
        <v>100</v>
      </c>
      <c r="G58" s="14">
        <v>1.99</v>
      </c>
      <c r="H58" s="13">
        <v>200</v>
      </c>
      <c r="I58" s="14">
        <v>1.99</v>
      </c>
      <c r="J58" s="13">
        <v>1000</v>
      </c>
      <c r="K58" s="14">
        <v>1.89</v>
      </c>
      <c r="L58" s="16">
        <f t="shared" si="3"/>
        <v>2.3975903614457832</v>
      </c>
      <c r="M58" s="16">
        <f t="shared" si="4"/>
        <v>2.3975903614457832</v>
      </c>
      <c r="N58" s="16">
        <f t="shared" si="5"/>
        <v>2.2771084337349397</v>
      </c>
    </row>
    <row r="59" spans="1:14" x14ac:dyDescent="0.25">
      <c r="A59" s="9" t="s">
        <v>121</v>
      </c>
      <c r="B59" s="10" t="s">
        <v>122</v>
      </c>
      <c r="C59" s="11" t="s">
        <v>26</v>
      </c>
      <c r="D59" s="11" t="s">
        <v>120</v>
      </c>
      <c r="E59" s="12">
        <v>3</v>
      </c>
      <c r="F59" s="13">
        <v>20</v>
      </c>
      <c r="G59" s="14">
        <v>12.9</v>
      </c>
      <c r="H59" s="13">
        <v>50</v>
      </c>
      <c r="I59" s="14">
        <v>9.9</v>
      </c>
      <c r="J59" s="13">
        <v>100</v>
      </c>
      <c r="K59" s="14">
        <v>8.9</v>
      </c>
      <c r="L59" s="16">
        <f t="shared" si="3"/>
        <v>4.3</v>
      </c>
      <c r="M59" s="16">
        <f t="shared" si="4"/>
        <v>3.3000000000000003</v>
      </c>
      <c r="N59" s="16">
        <f t="shared" si="5"/>
        <v>2.9666666666666668</v>
      </c>
    </row>
    <row r="60" spans="1:14" x14ac:dyDescent="0.25">
      <c r="A60" s="9" t="s">
        <v>123</v>
      </c>
      <c r="B60" s="10" t="s">
        <v>124</v>
      </c>
      <c r="C60" s="11" t="s">
        <v>26</v>
      </c>
      <c r="D60" s="11" t="s">
        <v>120</v>
      </c>
      <c r="E60" s="12">
        <v>2.2000000000000002</v>
      </c>
      <c r="F60" s="13">
        <v>20</v>
      </c>
      <c r="G60" s="14">
        <v>12.9</v>
      </c>
      <c r="H60" s="13">
        <v>50</v>
      </c>
      <c r="I60" s="14">
        <v>10.9</v>
      </c>
      <c r="J60" s="13">
        <v>100</v>
      </c>
      <c r="K60" s="14">
        <v>7.9</v>
      </c>
      <c r="L60" s="16">
        <f t="shared" si="3"/>
        <v>5.8636363636363633</v>
      </c>
      <c r="M60" s="16">
        <f t="shared" si="4"/>
        <v>4.9545454545454541</v>
      </c>
      <c r="N60" s="16">
        <f t="shared" si="5"/>
        <v>3.5909090909090908</v>
      </c>
    </row>
    <row r="61" spans="1:14" x14ac:dyDescent="0.25">
      <c r="A61" s="9" t="s">
        <v>125</v>
      </c>
      <c r="B61" s="10" t="s">
        <v>126</v>
      </c>
      <c r="C61" s="11" t="s">
        <v>26</v>
      </c>
      <c r="D61" s="11" t="s">
        <v>120</v>
      </c>
      <c r="E61" s="12">
        <v>1.9</v>
      </c>
      <c r="F61" s="13">
        <v>20</v>
      </c>
      <c r="G61" s="14">
        <v>12.9</v>
      </c>
      <c r="H61" s="13">
        <v>50</v>
      </c>
      <c r="I61" s="14">
        <v>10.9</v>
      </c>
      <c r="J61" s="13">
        <v>100</v>
      </c>
      <c r="K61" s="14">
        <v>8.9</v>
      </c>
      <c r="L61" s="16">
        <f t="shared" si="3"/>
        <v>6.7894736842105265</v>
      </c>
      <c r="M61" s="16">
        <f t="shared" si="4"/>
        <v>5.7368421052631584</v>
      </c>
      <c r="N61" s="16">
        <f t="shared" si="5"/>
        <v>4.6842105263157903</v>
      </c>
    </row>
    <row r="62" spans="1:14" x14ac:dyDescent="0.25">
      <c r="A62" s="9" t="s">
        <v>127</v>
      </c>
      <c r="B62" s="10" t="s">
        <v>128</v>
      </c>
      <c r="C62" s="11" t="s">
        <v>26</v>
      </c>
      <c r="D62" s="11" t="s">
        <v>120</v>
      </c>
      <c r="E62" s="12">
        <v>4.5</v>
      </c>
      <c r="F62" s="13">
        <v>20</v>
      </c>
      <c r="G62" s="14">
        <v>19.899999999999999</v>
      </c>
      <c r="H62" s="13">
        <v>50</v>
      </c>
      <c r="I62" s="14">
        <v>17.899999999999999</v>
      </c>
      <c r="J62" s="13">
        <v>100</v>
      </c>
      <c r="K62" s="14">
        <v>14.9</v>
      </c>
      <c r="L62" s="16">
        <f t="shared" si="3"/>
        <v>4.4222222222222216</v>
      </c>
      <c r="M62" s="16">
        <f t="shared" si="4"/>
        <v>3.9777777777777774</v>
      </c>
      <c r="N62" s="16">
        <f t="shared" si="5"/>
        <v>3.3111111111111113</v>
      </c>
    </row>
    <row r="63" spans="1:14" x14ac:dyDescent="0.25">
      <c r="A63" s="9" t="s">
        <v>129</v>
      </c>
      <c r="B63" s="10" t="s">
        <v>130</v>
      </c>
      <c r="C63" s="11" t="s">
        <v>26</v>
      </c>
      <c r="D63" s="11" t="s">
        <v>120</v>
      </c>
      <c r="E63" s="12">
        <v>8.5</v>
      </c>
      <c r="F63" s="13">
        <v>20</v>
      </c>
      <c r="G63" s="14">
        <v>34.9</v>
      </c>
      <c r="H63" s="13">
        <v>50</v>
      </c>
      <c r="I63" s="14">
        <v>29.9</v>
      </c>
      <c r="J63" s="13">
        <v>100</v>
      </c>
      <c r="K63" s="14">
        <v>24.9</v>
      </c>
      <c r="L63" s="16">
        <f t="shared" si="3"/>
        <v>4.1058823529411761</v>
      </c>
      <c r="M63" s="16">
        <f t="shared" si="4"/>
        <v>3.5176470588235293</v>
      </c>
      <c r="N63" s="16">
        <f t="shared" si="5"/>
        <v>2.9294117647058822</v>
      </c>
    </row>
    <row r="64" spans="1:14" x14ac:dyDescent="0.25">
      <c r="A64" s="9" t="s">
        <v>131</v>
      </c>
      <c r="B64" s="10" t="s">
        <v>132</v>
      </c>
      <c r="C64" s="11" t="s">
        <v>26</v>
      </c>
      <c r="D64" s="11" t="s">
        <v>120</v>
      </c>
      <c r="E64" s="12">
        <v>21.9</v>
      </c>
      <c r="F64" s="13">
        <v>20</v>
      </c>
      <c r="G64" s="14">
        <v>52.9</v>
      </c>
      <c r="H64" s="13">
        <v>50</v>
      </c>
      <c r="I64" s="14">
        <v>47.18</v>
      </c>
      <c r="J64" s="13">
        <v>100</v>
      </c>
      <c r="K64" s="14">
        <v>44.9</v>
      </c>
      <c r="L64" s="16">
        <f t="shared" si="3"/>
        <v>2.4155251141552512</v>
      </c>
      <c r="M64" s="16">
        <f t="shared" si="4"/>
        <v>2.1543378995433793</v>
      </c>
      <c r="N64" s="16">
        <f t="shared" si="5"/>
        <v>2.0502283105022832</v>
      </c>
    </row>
    <row r="65" spans="1:14" x14ac:dyDescent="0.25">
      <c r="A65" s="9" t="s">
        <v>133</v>
      </c>
      <c r="B65" s="10" t="s">
        <v>134</v>
      </c>
      <c r="C65" s="11" t="s">
        <v>26</v>
      </c>
      <c r="D65" s="11" t="s">
        <v>120</v>
      </c>
      <c r="E65" s="12">
        <v>27</v>
      </c>
      <c r="F65" s="13">
        <v>20</v>
      </c>
      <c r="G65" s="14">
        <v>59.9</v>
      </c>
      <c r="H65" s="13">
        <v>50</v>
      </c>
      <c r="I65" s="14">
        <v>57.9</v>
      </c>
      <c r="J65" s="13">
        <v>100</v>
      </c>
      <c r="K65" s="14">
        <v>54.9</v>
      </c>
      <c r="L65" s="16">
        <f t="shared" si="3"/>
        <v>2.2185185185185183</v>
      </c>
      <c r="M65" s="16">
        <f t="shared" si="4"/>
        <v>2.1444444444444444</v>
      </c>
      <c r="N65" s="16">
        <f t="shared" si="5"/>
        <v>2.0333333333333332</v>
      </c>
    </row>
    <row r="66" spans="1:14" x14ac:dyDescent="0.25">
      <c r="A66" s="9" t="s">
        <v>135</v>
      </c>
      <c r="B66" s="10" t="s">
        <v>134</v>
      </c>
      <c r="C66" s="11" t="s">
        <v>26</v>
      </c>
      <c r="D66" s="11" t="s">
        <v>120</v>
      </c>
      <c r="E66" s="12">
        <v>10.9</v>
      </c>
      <c r="F66" s="13">
        <v>20</v>
      </c>
      <c r="G66" s="14">
        <v>28.34</v>
      </c>
      <c r="H66" s="13">
        <v>50</v>
      </c>
      <c r="I66" s="14">
        <v>25.07</v>
      </c>
      <c r="J66" s="13">
        <v>100</v>
      </c>
      <c r="K66" s="14">
        <v>22.89</v>
      </c>
      <c r="L66" s="16">
        <f t="shared" si="3"/>
        <v>2.6</v>
      </c>
      <c r="M66" s="16">
        <f t="shared" si="4"/>
        <v>2.2999999999999998</v>
      </c>
      <c r="N66" s="16">
        <f t="shared" si="5"/>
        <v>2.1</v>
      </c>
    </row>
    <row r="67" spans="1:14" x14ac:dyDescent="0.25">
      <c r="A67" s="9" t="s">
        <v>136</v>
      </c>
      <c r="B67" s="10" t="s">
        <v>137</v>
      </c>
      <c r="C67" s="11" t="s">
        <v>26</v>
      </c>
      <c r="D67" s="11" t="s">
        <v>138</v>
      </c>
      <c r="E67" s="12">
        <v>22.5</v>
      </c>
      <c r="F67" s="13">
        <v>20</v>
      </c>
      <c r="G67" s="14">
        <v>54.9</v>
      </c>
      <c r="H67" s="13">
        <v>50</v>
      </c>
      <c r="I67" s="14">
        <v>49.9</v>
      </c>
      <c r="J67" s="13">
        <v>100</v>
      </c>
      <c r="K67" s="14">
        <v>44.9</v>
      </c>
      <c r="L67" s="16">
        <f t="shared" si="3"/>
        <v>2.44</v>
      </c>
      <c r="M67" s="16">
        <f t="shared" si="4"/>
        <v>2.2177777777777776</v>
      </c>
      <c r="N67" s="16">
        <f t="shared" si="5"/>
        <v>1.9955555555555555</v>
      </c>
    </row>
    <row r="68" spans="1:14" x14ac:dyDescent="0.25">
      <c r="A68" s="9" t="s">
        <v>139</v>
      </c>
      <c r="B68" s="10" t="s">
        <v>140</v>
      </c>
      <c r="C68" s="11" t="s">
        <v>26</v>
      </c>
      <c r="D68" s="11" t="s">
        <v>138</v>
      </c>
      <c r="E68" s="12">
        <v>13</v>
      </c>
      <c r="F68" s="13">
        <v>20</v>
      </c>
      <c r="G68" s="14">
        <v>39.9</v>
      </c>
      <c r="H68" s="13">
        <v>50</v>
      </c>
      <c r="I68" s="14">
        <v>32.9</v>
      </c>
      <c r="J68" s="13">
        <v>100</v>
      </c>
      <c r="K68" s="14">
        <v>27.9</v>
      </c>
      <c r="L68" s="16">
        <f t="shared" si="3"/>
        <v>3.069230769230769</v>
      </c>
      <c r="M68" s="16">
        <f t="shared" si="4"/>
        <v>2.5307692307692307</v>
      </c>
      <c r="N68" s="16">
        <f t="shared" si="5"/>
        <v>2.1461538461538461</v>
      </c>
    </row>
    <row r="69" spans="1:14" x14ac:dyDescent="0.25">
      <c r="A69" s="9" t="s">
        <v>141</v>
      </c>
      <c r="B69" s="10" t="s">
        <v>142</v>
      </c>
      <c r="C69" s="11" t="s">
        <v>26</v>
      </c>
      <c r="D69" s="11" t="s">
        <v>138</v>
      </c>
      <c r="E69" s="12">
        <v>4.99</v>
      </c>
      <c r="F69" s="13">
        <v>20</v>
      </c>
      <c r="G69" s="14">
        <v>17.46</v>
      </c>
      <c r="H69" s="13">
        <v>50</v>
      </c>
      <c r="I69" s="14">
        <v>15.47</v>
      </c>
      <c r="J69" s="13">
        <v>100</v>
      </c>
      <c r="K69" s="14">
        <v>13.97</v>
      </c>
      <c r="L69" s="16">
        <f t="shared" si="3"/>
        <v>3.4989979959919841</v>
      </c>
      <c r="M69" s="16">
        <f t="shared" si="4"/>
        <v>3.1002004008016031</v>
      </c>
      <c r="N69" s="16">
        <f t="shared" si="5"/>
        <v>2.7995991983967934</v>
      </c>
    </row>
    <row r="70" spans="1:14" x14ac:dyDescent="0.25">
      <c r="A70" s="9" t="s">
        <v>143</v>
      </c>
      <c r="B70" s="10" t="s">
        <v>144</v>
      </c>
      <c r="C70" s="11" t="s">
        <v>26</v>
      </c>
      <c r="D70" s="11" t="s">
        <v>138</v>
      </c>
      <c r="E70" s="12">
        <v>21.9</v>
      </c>
      <c r="F70" s="13">
        <v>20</v>
      </c>
      <c r="G70" s="14">
        <v>52.56</v>
      </c>
      <c r="H70" s="13">
        <v>50</v>
      </c>
      <c r="I70" s="14">
        <v>47.9</v>
      </c>
      <c r="J70" s="13">
        <v>100</v>
      </c>
      <c r="K70" s="14">
        <v>44.9</v>
      </c>
      <c r="L70" s="16">
        <f t="shared" si="3"/>
        <v>2.4000000000000004</v>
      </c>
      <c r="M70" s="16">
        <f t="shared" si="4"/>
        <v>2.1872146118721463</v>
      </c>
      <c r="N70" s="16">
        <f t="shared" si="5"/>
        <v>2.0502283105022832</v>
      </c>
    </row>
    <row r="71" spans="1:14" x14ac:dyDescent="0.25">
      <c r="A71" s="9" t="s">
        <v>145</v>
      </c>
      <c r="B71" s="10" t="s">
        <v>146</v>
      </c>
      <c r="C71" s="11" t="s">
        <v>26</v>
      </c>
      <c r="D71" s="11" t="s">
        <v>138</v>
      </c>
      <c r="E71" s="12">
        <v>19.899999999999999</v>
      </c>
      <c r="F71" s="13">
        <v>20</v>
      </c>
      <c r="G71" s="14">
        <v>49.9</v>
      </c>
      <c r="H71" s="13">
        <v>50</v>
      </c>
      <c r="I71" s="14">
        <v>43.9</v>
      </c>
      <c r="J71" s="13">
        <v>100</v>
      </c>
      <c r="K71" s="14">
        <v>41.9</v>
      </c>
      <c r="L71" s="16">
        <f t="shared" si="3"/>
        <v>2.5075376884422114</v>
      </c>
      <c r="M71" s="16">
        <f t="shared" si="4"/>
        <v>2.2060301507537687</v>
      </c>
      <c r="N71" s="16">
        <f t="shared" si="5"/>
        <v>2.1055276381909547</v>
      </c>
    </row>
    <row r="72" spans="1:14" x14ac:dyDescent="0.25">
      <c r="A72" s="9" t="s">
        <v>147</v>
      </c>
      <c r="B72" s="10" t="s">
        <v>148</v>
      </c>
      <c r="C72" s="11" t="s">
        <v>26</v>
      </c>
      <c r="D72" s="11" t="s">
        <v>138</v>
      </c>
      <c r="E72" s="12">
        <v>54.9</v>
      </c>
      <c r="F72" s="13">
        <v>20</v>
      </c>
      <c r="G72" s="14">
        <v>120.78</v>
      </c>
      <c r="H72" s="13">
        <v>50</v>
      </c>
      <c r="I72" s="14">
        <v>109.8</v>
      </c>
      <c r="J72" s="13">
        <v>100</v>
      </c>
      <c r="K72" s="14">
        <v>98.82</v>
      </c>
      <c r="L72" s="16">
        <f t="shared" si="3"/>
        <v>2.2000000000000002</v>
      </c>
      <c r="M72" s="16">
        <f t="shared" si="4"/>
        <v>2</v>
      </c>
      <c r="N72" s="16">
        <f t="shared" si="5"/>
        <v>1.7999999999999998</v>
      </c>
    </row>
    <row r="73" spans="1:14" x14ac:dyDescent="0.25">
      <c r="A73" s="18" t="s">
        <v>149</v>
      </c>
      <c r="B73" s="10" t="s">
        <v>150</v>
      </c>
      <c r="C73" s="11" t="s">
        <v>26</v>
      </c>
      <c r="D73" s="11" t="s">
        <v>138</v>
      </c>
      <c r="E73" s="12">
        <v>18</v>
      </c>
      <c r="F73" s="13">
        <v>20</v>
      </c>
      <c r="G73" s="14">
        <v>44.9</v>
      </c>
      <c r="H73" s="13">
        <v>50</v>
      </c>
      <c r="I73" s="14">
        <v>40.9</v>
      </c>
      <c r="J73" s="13">
        <v>100</v>
      </c>
      <c r="K73" s="14">
        <v>37.9</v>
      </c>
      <c r="L73" s="16">
        <f t="shared" si="3"/>
        <v>2.4944444444444445</v>
      </c>
      <c r="M73" s="16">
        <f t="shared" si="4"/>
        <v>2.2722222222222221</v>
      </c>
      <c r="N73" s="16">
        <f t="shared" si="5"/>
        <v>2.1055555555555556</v>
      </c>
    </row>
    <row r="74" spans="1:14" x14ac:dyDescent="0.25">
      <c r="A74" s="9" t="s">
        <v>151</v>
      </c>
      <c r="B74" s="10" t="s">
        <v>152</v>
      </c>
      <c r="C74" s="11" t="s">
        <v>26</v>
      </c>
      <c r="D74" s="11" t="s">
        <v>153</v>
      </c>
      <c r="E74" s="12">
        <v>4.5</v>
      </c>
      <c r="F74" s="13">
        <v>100</v>
      </c>
      <c r="G74" s="14">
        <v>12.9</v>
      </c>
      <c r="H74" s="13">
        <v>200</v>
      </c>
      <c r="I74" s="14">
        <v>10.9</v>
      </c>
      <c r="J74" s="13">
        <v>1000</v>
      </c>
      <c r="K74" s="14">
        <v>9.9</v>
      </c>
      <c r="L74" s="16">
        <f t="shared" si="3"/>
        <v>2.8666666666666667</v>
      </c>
      <c r="M74" s="16">
        <f t="shared" si="4"/>
        <v>2.4222222222222225</v>
      </c>
      <c r="N74" s="16">
        <f t="shared" si="5"/>
        <v>2.2000000000000002</v>
      </c>
    </row>
    <row r="75" spans="1:14" x14ac:dyDescent="0.25">
      <c r="A75" s="9" t="s">
        <v>154</v>
      </c>
      <c r="B75" s="10" t="s">
        <v>155</v>
      </c>
      <c r="C75" s="11" t="s">
        <v>26</v>
      </c>
      <c r="D75" s="11" t="s">
        <v>153</v>
      </c>
      <c r="E75" s="12">
        <v>1.7</v>
      </c>
      <c r="F75" s="13">
        <v>100</v>
      </c>
      <c r="G75" s="14">
        <v>5.95</v>
      </c>
      <c r="H75" s="13">
        <v>200</v>
      </c>
      <c r="I75" s="14">
        <v>5.27</v>
      </c>
      <c r="J75" s="13">
        <v>1000</v>
      </c>
      <c r="K75" s="14">
        <v>4.76</v>
      </c>
      <c r="L75" s="16">
        <f t="shared" ref="L75:L107" si="6">IFERROR(G75/$E75,"")</f>
        <v>3.5</v>
      </c>
      <c r="M75" s="16">
        <f t="shared" ref="M75:M107" si="7">IFERROR(I75/$E75,"")</f>
        <v>3.0999999999999996</v>
      </c>
      <c r="N75" s="16">
        <f t="shared" ref="N75:N107" si="8">IFERROR(K75/$E75,"")</f>
        <v>2.8</v>
      </c>
    </row>
    <row r="76" spans="1:14" x14ac:dyDescent="0.25">
      <c r="A76" s="9" t="s">
        <v>156</v>
      </c>
      <c r="B76" s="10" t="s">
        <v>157</v>
      </c>
      <c r="C76" s="11" t="s">
        <v>26</v>
      </c>
      <c r="D76" s="11" t="s">
        <v>153</v>
      </c>
      <c r="E76" s="12">
        <v>5.0999999999999996</v>
      </c>
      <c r="F76" s="13">
        <v>100</v>
      </c>
      <c r="G76" s="14">
        <v>14.9</v>
      </c>
      <c r="H76" s="13">
        <v>200</v>
      </c>
      <c r="I76" s="14">
        <v>13.9</v>
      </c>
      <c r="J76" s="13">
        <v>1000</v>
      </c>
      <c r="K76" s="14">
        <v>12.9</v>
      </c>
      <c r="L76" s="16">
        <f t="shared" si="6"/>
        <v>2.9215686274509807</v>
      </c>
      <c r="M76" s="16">
        <f t="shared" si="7"/>
        <v>2.7254901960784315</v>
      </c>
      <c r="N76" s="16">
        <f t="shared" si="8"/>
        <v>2.5294117647058827</v>
      </c>
    </row>
    <row r="77" spans="1:14" x14ac:dyDescent="0.25">
      <c r="A77" s="9" t="s">
        <v>158</v>
      </c>
      <c r="B77" s="10" t="s">
        <v>152</v>
      </c>
      <c r="C77" s="11" t="s">
        <v>26</v>
      </c>
      <c r="D77" s="11" t="s">
        <v>153</v>
      </c>
      <c r="E77" s="12">
        <v>3.9</v>
      </c>
      <c r="F77" s="13">
        <v>100</v>
      </c>
      <c r="G77" s="14">
        <v>10.9</v>
      </c>
      <c r="H77" s="13">
        <v>200</v>
      </c>
      <c r="I77" s="14">
        <v>9.9</v>
      </c>
      <c r="J77" s="13">
        <v>1000</v>
      </c>
      <c r="K77" s="14">
        <v>9.49</v>
      </c>
      <c r="L77" s="16">
        <f t="shared" si="6"/>
        <v>2.7948717948717952</v>
      </c>
      <c r="M77" s="16">
        <f t="shared" si="7"/>
        <v>2.5384615384615388</v>
      </c>
      <c r="N77" s="16">
        <f t="shared" si="8"/>
        <v>2.4333333333333336</v>
      </c>
    </row>
    <row r="78" spans="1:14" x14ac:dyDescent="0.25">
      <c r="A78" s="9" t="s">
        <v>159</v>
      </c>
      <c r="B78" s="10" t="s">
        <v>160</v>
      </c>
      <c r="C78" s="11" t="s">
        <v>26</v>
      </c>
      <c r="D78" s="11" t="s">
        <v>153</v>
      </c>
      <c r="E78" s="12">
        <v>1.1499999999999999</v>
      </c>
      <c r="F78" s="13">
        <v>100</v>
      </c>
      <c r="G78" s="14">
        <v>5.45</v>
      </c>
      <c r="H78" s="13">
        <v>200</v>
      </c>
      <c r="I78" s="14">
        <v>5.03</v>
      </c>
      <c r="J78" s="13">
        <v>1000</v>
      </c>
      <c r="K78" s="14">
        <v>4.49</v>
      </c>
      <c r="L78" s="16">
        <f t="shared" si="6"/>
        <v>4.7391304347826093</v>
      </c>
      <c r="M78" s="16">
        <f t="shared" si="7"/>
        <v>4.3739130434782618</v>
      </c>
      <c r="N78" s="16">
        <f t="shared" si="8"/>
        <v>3.9043478260869571</v>
      </c>
    </row>
    <row r="79" spans="1:14" x14ac:dyDescent="0.25">
      <c r="A79" s="9" t="s">
        <v>161</v>
      </c>
      <c r="B79" s="10" t="s">
        <v>157</v>
      </c>
      <c r="C79" s="11" t="s">
        <v>26</v>
      </c>
      <c r="D79" s="11" t="s">
        <v>153</v>
      </c>
      <c r="E79" s="12">
        <v>7.2</v>
      </c>
      <c r="F79" s="13">
        <v>100</v>
      </c>
      <c r="G79" s="14">
        <v>17.899999999999999</v>
      </c>
      <c r="H79" s="13">
        <v>200</v>
      </c>
      <c r="I79" s="14">
        <v>16.899999999999999</v>
      </c>
      <c r="J79" s="13">
        <v>1000</v>
      </c>
      <c r="K79" s="14">
        <v>15.9</v>
      </c>
      <c r="L79" s="16">
        <f t="shared" si="6"/>
        <v>2.4861111111111107</v>
      </c>
      <c r="M79" s="16">
        <f t="shared" si="7"/>
        <v>2.3472222222222219</v>
      </c>
      <c r="N79" s="16">
        <f t="shared" si="8"/>
        <v>2.2083333333333335</v>
      </c>
    </row>
    <row r="80" spans="1:14" x14ac:dyDescent="0.25">
      <c r="A80" s="9" t="s">
        <v>162</v>
      </c>
      <c r="B80" s="10" t="s">
        <v>163</v>
      </c>
      <c r="C80" s="11" t="s">
        <v>26</v>
      </c>
      <c r="D80" s="11" t="s">
        <v>164</v>
      </c>
      <c r="E80" s="12">
        <v>16.399999999999999</v>
      </c>
      <c r="F80" s="13">
        <v>20</v>
      </c>
      <c r="G80" s="14">
        <v>39.9</v>
      </c>
      <c r="H80" s="13">
        <v>50</v>
      </c>
      <c r="I80" s="14">
        <v>36.9</v>
      </c>
      <c r="J80" s="13">
        <v>100</v>
      </c>
      <c r="K80" s="14">
        <v>34.9</v>
      </c>
      <c r="L80" s="15">
        <f t="shared" si="6"/>
        <v>2.4329268292682928</v>
      </c>
      <c r="M80" s="16">
        <f t="shared" si="7"/>
        <v>2.25</v>
      </c>
      <c r="N80" s="16">
        <f t="shared" si="8"/>
        <v>2.1280487804878048</v>
      </c>
    </row>
    <row r="81" spans="1:14" x14ac:dyDescent="0.25">
      <c r="A81" s="9" t="s">
        <v>165</v>
      </c>
      <c r="B81" s="10" t="s">
        <v>166</v>
      </c>
      <c r="C81" s="11" t="s">
        <v>26</v>
      </c>
      <c r="D81" s="11" t="s">
        <v>164</v>
      </c>
      <c r="E81" s="12">
        <v>55</v>
      </c>
      <c r="F81" s="13">
        <v>20</v>
      </c>
      <c r="G81" s="14">
        <v>121</v>
      </c>
      <c r="H81" s="13">
        <v>50</v>
      </c>
      <c r="I81" s="14">
        <v>110</v>
      </c>
      <c r="J81" s="13">
        <v>100</v>
      </c>
      <c r="K81" s="14">
        <v>99</v>
      </c>
      <c r="L81" s="16">
        <f t="shared" si="6"/>
        <v>2.2000000000000002</v>
      </c>
      <c r="M81" s="16">
        <f t="shared" si="7"/>
        <v>2</v>
      </c>
      <c r="N81" s="16">
        <f t="shared" si="8"/>
        <v>1.8</v>
      </c>
    </row>
    <row r="82" spans="1:14" x14ac:dyDescent="0.25">
      <c r="A82" s="9" t="s">
        <v>167</v>
      </c>
      <c r="B82" s="10" t="s">
        <v>168</v>
      </c>
      <c r="C82" s="11" t="s">
        <v>26</v>
      </c>
      <c r="D82" s="11" t="s">
        <v>164</v>
      </c>
      <c r="E82" s="12">
        <v>29.9</v>
      </c>
      <c r="F82" s="13">
        <v>20</v>
      </c>
      <c r="G82" s="14">
        <v>78.63</v>
      </c>
      <c r="H82" s="13">
        <v>50</v>
      </c>
      <c r="I82" s="14">
        <v>72.900000000000006</v>
      </c>
      <c r="J82" s="13">
        <v>100</v>
      </c>
      <c r="K82" s="14">
        <v>69.900000000000006</v>
      </c>
      <c r="L82" s="16">
        <f t="shared" si="6"/>
        <v>2.6297658862876254</v>
      </c>
      <c r="M82" s="16">
        <f t="shared" si="7"/>
        <v>2.4381270903010037</v>
      </c>
      <c r="N82" s="16">
        <f t="shared" si="8"/>
        <v>2.3377926421404687</v>
      </c>
    </row>
    <row r="83" spans="1:14" s="26" customFormat="1" x14ac:dyDescent="0.25">
      <c r="A83" s="18" t="s">
        <v>169</v>
      </c>
      <c r="B83" s="19" t="s">
        <v>170</v>
      </c>
      <c r="C83" s="20" t="s">
        <v>26</v>
      </c>
      <c r="D83" s="20" t="s">
        <v>164</v>
      </c>
      <c r="E83" s="21">
        <v>3.75</v>
      </c>
      <c r="F83" s="22">
        <v>20</v>
      </c>
      <c r="G83" s="23">
        <v>13.12</v>
      </c>
      <c r="H83" s="22">
        <v>50</v>
      </c>
      <c r="I83" s="23">
        <v>11.62</v>
      </c>
      <c r="J83" s="22">
        <v>100</v>
      </c>
      <c r="K83" s="23">
        <v>10.5</v>
      </c>
      <c r="L83" s="24">
        <f t="shared" si="6"/>
        <v>3.4986666666666664</v>
      </c>
      <c r="M83" s="25">
        <f t="shared" si="7"/>
        <v>3.0986666666666665</v>
      </c>
      <c r="N83" s="25">
        <f t="shared" si="8"/>
        <v>2.8</v>
      </c>
    </row>
    <row r="84" spans="1:14" x14ac:dyDescent="0.25">
      <c r="A84" s="9" t="s">
        <v>171</v>
      </c>
      <c r="B84" s="10" t="s">
        <v>172</v>
      </c>
      <c r="C84" s="11" t="s">
        <v>26</v>
      </c>
      <c r="D84" s="11" t="s">
        <v>164</v>
      </c>
      <c r="E84" s="12">
        <v>13.5</v>
      </c>
      <c r="F84" s="13">
        <v>20</v>
      </c>
      <c r="G84" s="14">
        <v>34.9</v>
      </c>
      <c r="H84" s="13">
        <v>50</v>
      </c>
      <c r="I84" s="14">
        <v>32.78</v>
      </c>
      <c r="J84" s="13">
        <v>100</v>
      </c>
      <c r="K84" s="14">
        <v>30.9</v>
      </c>
      <c r="L84" s="16">
        <f t="shared" si="6"/>
        <v>2.585185185185185</v>
      </c>
      <c r="M84" s="16">
        <f t="shared" si="7"/>
        <v>2.4281481481481482</v>
      </c>
      <c r="N84" s="16">
        <f t="shared" si="8"/>
        <v>2.2888888888888888</v>
      </c>
    </row>
    <row r="85" spans="1:14" x14ac:dyDescent="0.25">
      <c r="A85" s="9" t="s">
        <v>173</v>
      </c>
      <c r="B85" s="10" t="s">
        <v>174</v>
      </c>
      <c r="C85" s="11" t="s">
        <v>26</v>
      </c>
      <c r="D85" s="11" t="s">
        <v>164</v>
      </c>
      <c r="E85" s="12">
        <v>37.799999999999997</v>
      </c>
      <c r="F85" s="13">
        <v>20</v>
      </c>
      <c r="G85" s="14">
        <v>81.12</v>
      </c>
      <c r="H85" s="13">
        <v>50</v>
      </c>
      <c r="I85" s="14">
        <v>79.900000000000006</v>
      </c>
      <c r="J85" s="13">
        <v>100</v>
      </c>
      <c r="K85" s="14">
        <v>74.900000000000006</v>
      </c>
      <c r="L85" s="16">
        <f t="shared" si="6"/>
        <v>2.1460317460317464</v>
      </c>
      <c r="M85" s="16">
        <f t="shared" si="7"/>
        <v>2.1137566137566139</v>
      </c>
      <c r="N85" s="16">
        <f t="shared" si="8"/>
        <v>1.9814814814814818</v>
      </c>
    </row>
    <row r="86" spans="1:14" x14ac:dyDescent="0.25">
      <c r="A86" s="9" t="s">
        <v>175</v>
      </c>
      <c r="B86" s="10" t="s">
        <v>176</v>
      </c>
      <c r="C86" s="11" t="s">
        <v>26</v>
      </c>
      <c r="D86" s="11" t="s">
        <v>164</v>
      </c>
      <c r="E86" s="12">
        <v>24.9</v>
      </c>
      <c r="F86" s="13">
        <v>20</v>
      </c>
      <c r="G86" s="14">
        <v>52.9</v>
      </c>
      <c r="H86" s="13">
        <v>50</v>
      </c>
      <c r="I86" s="14">
        <v>49.9</v>
      </c>
      <c r="J86" s="13">
        <v>100</v>
      </c>
      <c r="K86" s="14">
        <v>47.9</v>
      </c>
      <c r="L86" s="16">
        <f t="shared" si="6"/>
        <v>2.1244979919678717</v>
      </c>
      <c r="M86" s="16">
        <f t="shared" si="7"/>
        <v>2.0040160642570282</v>
      </c>
      <c r="N86" s="16">
        <f t="shared" si="8"/>
        <v>1.923694779116466</v>
      </c>
    </row>
    <row r="87" spans="1:14" x14ac:dyDescent="0.25">
      <c r="A87" s="9" t="s">
        <v>177</v>
      </c>
      <c r="B87" s="10" t="s">
        <v>178</v>
      </c>
      <c r="C87" s="11" t="s">
        <v>26</v>
      </c>
      <c r="D87" s="11" t="s">
        <v>164</v>
      </c>
      <c r="E87" s="12">
        <v>4.2</v>
      </c>
      <c r="F87" s="13">
        <v>20</v>
      </c>
      <c r="G87" s="14">
        <v>14.7</v>
      </c>
      <c r="H87" s="13">
        <v>50</v>
      </c>
      <c r="I87" s="14">
        <v>13.02</v>
      </c>
      <c r="J87" s="13">
        <v>100</v>
      </c>
      <c r="K87" s="14">
        <v>10.9</v>
      </c>
      <c r="L87" s="16">
        <f t="shared" si="6"/>
        <v>3.4999999999999996</v>
      </c>
      <c r="M87" s="16">
        <f t="shared" si="7"/>
        <v>3.0999999999999996</v>
      </c>
      <c r="N87" s="16">
        <f t="shared" si="8"/>
        <v>2.5952380952380953</v>
      </c>
    </row>
    <row r="88" spans="1:14" x14ac:dyDescent="0.25">
      <c r="A88" s="9" t="s">
        <v>179</v>
      </c>
      <c r="B88" s="10" t="s">
        <v>180</v>
      </c>
      <c r="C88" s="11" t="s">
        <v>26</v>
      </c>
      <c r="D88" s="11" t="s">
        <v>181</v>
      </c>
      <c r="E88" s="12">
        <v>10.5</v>
      </c>
      <c r="F88" s="13">
        <v>20</v>
      </c>
      <c r="G88" s="14">
        <v>26.9</v>
      </c>
      <c r="H88" s="13">
        <v>50</v>
      </c>
      <c r="I88" s="14">
        <v>24.9</v>
      </c>
      <c r="J88" s="13">
        <v>100</v>
      </c>
      <c r="K88" s="14">
        <v>22.9</v>
      </c>
      <c r="L88" s="16">
        <f t="shared" si="6"/>
        <v>2.5619047619047617</v>
      </c>
      <c r="M88" s="16">
        <f t="shared" si="7"/>
        <v>2.3714285714285714</v>
      </c>
      <c r="N88" s="16">
        <f t="shared" si="8"/>
        <v>2.1809523809523808</v>
      </c>
    </row>
    <row r="89" spans="1:14" x14ac:dyDescent="0.25">
      <c r="A89" s="9" t="s">
        <v>182</v>
      </c>
      <c r="B89" s="10" t="s">
        <v>183</v>
      </c>
      <c r="C89" s="11" t="s">
        <v>26</v>
      </c>
      <c r="D89" s="11" t="s">
        <v>181</v>
      </c>
      <c r="E89" s="12">
        <v>13.9</v>
      </c>
      <c r="F89" s="13">
        <v>20</v>
      </c>
      <c r="G89" s="14">
        <v>34.9</v>
      </c>
      <c r="H89" s="13">
        <v>50</v>
      </c>
      <c r="I89" s="14">
        <v>32.9</v>
      </c>
      <c r="J89" s="13">
        <v>100</v>
      </c>
      <c r="K89" s="14">
        <v>29.9</v>
      </c>
      <c r="L89" s="16">
        <f t="shared" si="6"/>
        <v>2.5107913669064748</v>
      </c>
      <c r="M89" s="16">
        <f t="shared" si="7"/>
        <v>2.3669064748201438</v>
      </c>
      <c r="N89" s="16">
        <f t="shared" si="8"/>
        <v>2.1510791366906474</v>
      </c>
    </row>
    <row r="90" spans="1:14" x14ac:dyDescent="0.25">
      <c r="A90" s="9" t="s">
        <v>184</v>
      </c>
      <c r="B90" s="10" t="s">
        <v>185</v>
      </c>
      <c r="C90" s="11" t="s">
        <v>26</v>
      </c>
      <c r="D90" s="11" t="s">
        <v>181</v>
      </c>
      <c r="E90" s="12">
        <v>31.2</v>
      </c>
      <c r="F90" s="13">
        <v>20</v>
      </c>
      <c r="G90" s="14">
        <v>62.18</v>
      </c>
      <c r="H90" s="13">
        <v>50</v>
      </c>
      <c r="I90" s="14">
        <v>58.9</v>
      </c>
      <c r="J90" s="13">
        <v>100</v>
      </c>
      <c r="K90" s="14">
        <v>54.9</v>
      </c>
      <c r="L90" s="16">
        <f t="shared" si="6"/>
        <v>1.992948717948718</v>
      </c>
      <c r="M90" s="16">
        <f t="shared" si="7"/>
        <v>1.8878205128205128</v>
      </c>
      <c r="N90" s="16">
        <f t="shared" si="8"/>
        <v>1.7596153846153846</v>
      </c>
    </row>
    <row r="91" spans="1:14" x14ac:dyDescent="0.25">
      <c r="A91" s="9" t="s">
        <v>186</v>
      </c>
      <c r="B91" s="10" t="s">
        <v>187</v>
      </c>
      <c r="C91" s="11" t="s">
        <v>26</v>
      </c>
      <c r="D91" s="11" t="s">
        <v>188</v>
      </c>
      <c r="E91" s="12">
        <v>13.5</v>
      </c>
      <c r="F91" s="13">
        <v>20</v>
      </c>
      <c r="G91" s="14">
        <v>34.9</v>
      </c>
      <c r="H91" s="13">
        <v>50</v>
      </c>
      <c r="I91" s="14">
        <v>30.9</v>
      </c>
      <c r="J91" s="13">
        <v>100</v>
      </c>
      <c r="K91" s="14">
        <v>29.9</v>
      </c>
      <c r="L91" s="16">
        <f t="shared" si="6"/>
        <v>2.585185185185185</v>
      </c>
      <c r="M91" s="16">
        <f t="shared" si="7"/>
        <v>2.2888888888888888</v>
      </c>
      <c r="N91" s="16">
        <f t="shared" si="8"/>
        <v>2.2148148148148148</v>
      </c>
    </row>
    <row r="92" spans="1:14" x14ac:dyDescent="0.25">
      <c r="A92" s="9" t="s">
        <v>189</v>
      </c>
      <c r="B92" s="10" t="s">
        <v>190</v>
      </c>
      <c r="C92" s="11" t="s">
        <v>26</v>
      </c>
      <c r="D92" s="11" t="s">
        <v>188</v>
      </c>
      <c r="E92" s="12">
        <v>9.9</v>
      </c>
      <c r="F92" s="13">
        <v>20</v>
      </c>
      <c r="G92" s="14">
        <v>30.9</v>
      </c>
      <c r="H92" s="13">
        <v>50</v>
      </c>
      <c r="I92" s="14">
        <v>27.9</v>
      </c>
      <c r="J92" s="13">
        <v>100</v>
      </c>
      <c r="K92" s="14">
        <v>24.9</v>
      </c>
      <c r="L92" s="16">
        <f t="shared" si="6"/>
        <v>3.1212121212121211</v>
      </c>
      <c r="M92" s="16">
        <f t="shared" si="7"/>
        <v>2.8181818181818179</v>
      </c>
      <c r="N92" s="16">
        <f t="shared" si="8"/>
        <v>2.5151515151515151</v>
      </c>
    </row>
    <row r="93" spans="1:14" x14ac:dyDescent="0.25">
      <c r="A93" s="9" t="s">
        <v>191</v>
      </c>
      <c r="B93" s="10" t="s">
        <v>192</v>
      </c>
      <c r="C93" s="11" t="s">
        <v>26</v>
      </c>
      <c r="D93" s="11" t="s">
        <v>188</v>
      </c>
      <c r="E93" s="12">
        <v>29.5</v>
      </c>
      <c r="F93" s="13">
        <v>20</v>
      </c>
      <c r="G93" s="14">
        <v>70.8</v>
      </c>
      <c r="H93" s="13">
        <v>50</v>
      </c>
      <c r="I93" s="14">
        <v>61.95</v>
      </c>
      <c r="J93" s="13">
        <v>100</v>
      </c>
      <c r="K93" s="14">
        <v>56.05</v>
      </c>
      <c r="L93" s="16">
        <f t="shared" si="6"/>
        <v>2.4</v>
      </c>
      <c r="M93" s="16">
        <f t="shared" si="7"/>
        <v>2.1</v>
      </c>
      <c r="N93" s="16">
        <f t="shared" si="8"/>
        <v>1.9</v>
      </c>
    </row>
    <row r="94" spans="1:14" x14ac:dyDescent="0.25">
      <c r="A94" s="9" t="s">
        <v>193</v>
      </c>
      <c r="B94" s="10" t="s">
        <v>194</v>
      </c>
      <c r="C94" s="11" t="s">
        <v>26</v>
      </c>
      <c r="D94" s="11" t="s">
        <v>188</v>
      </c>
      <c r="E94" s="12">
        <v>20.3</v>
      </c>
      <c r="F94" s="13">
        <v>20</v>
      </c>
      <c r="G94" s="14">
        <v>49.74</v>
      </c>
      <c r="H94" s="13">
        <v>50</v>
      </c>
      <c r="I94" s="14">
        <v>46.49</v>
      </c>
      <c r="J94" s="13">
        <v>100</v>
      </c>
      <c r="K94" s="14">
        <v>44.49</v>
      </c>
      <c r="L94" s="16">
        <f t="shared" si="6"/>
        <v>2.4502463054187191</v>
      </c>
      <c r="M94" s="16">
        <f t="shared" si="7"/>
        <v>2.2901477832512316</v>
      </c>
      <c r="N94" s="16">
        <f t="shared" si="8"/>
        <v>2.191625615763547</v>
      </c>
    </row>
    <row r="95" spans="1:14" x14ac:dyDescent="0.25">
      <c r="A95" s="9" t="s">
        <v>195</v>
      </c>
      <c r="B95" s="10" t="s">
        <v>196</v>
      </c>
      <c r="C95" s="11" t="s">
        <v>26</v>
      </c>
      <c r="D95" s="11" t="s">
        <v>188</v>
      </c>
      <c r="E95" s="12">
        <v>20.9</v>
      </c>
      <c r="F95" s="13">
        <v>20</v>
      </c>
      <c r="G95" s="14">
        <v>50.16</v>
      </c>
      <c r="H95" s="13">
        <v>50</v>
      </c>
      <c r="I95" s="14">
        <v>46.9</v>
      </c>
      <c r="J95" s="13">
        <v>100</v>
      </c>
      <c r="K95" s="14">
        <v>44.9</v>
      </c>
      <c r="L95" s="16">
        <f t="shared" si="6"/>
        <v>2.4</v>
      </c>
      <c r="M95" s="16">
        <f t="shared" si="7"/>
        <v>2.2440191387559811</v>
      </c>
      <c r="N95" s="16">
        <f t="shared" si="8"/>
        <v>2.1483253588516749</v>
      </c>
    </row>
    <row r="96" spans="1:14" x14ac:dyDescent="0.25">
      <c r="A96" s="9" t="s">
        <v>197</v>
      </c>
      <c r="B96" s="10" t="s">
        <v>198</v>
      </c>
      <c r="C96" s="11" t="s">
        <v>26</v>
      </c>
      <c r="D96" s="11" t="s">
        <v>64</v>
      </c>
      <c r="E96" s="12">
        <v>33.799999999999997</v>
      </c>
      <c r="F96" s="13">
        <v>20</v>
      </c>
      <c r="G96" s="14">
        <v>77.900000000000006</v>
      </c>
      <c r="H96" s="13">
        <v>50</v>
      </c>
      <c r="I96" s="14">
        <v>73.98</v>
      </c>
      <c r="J96" s="13">
        <v>100</v>
      </c>
      <c r="K96" s="14">
        <v>67.900000000000006</v>
      </c>
      <c r="L96" s="16">
        <f t="shared" si="6"/>
        <v>2.3047337278106514</v>
      </c>
      <c r="M96" s="16">
        <f t="shared" si="7"/>
        <v>2.1887573964497045</v>
      </c>
      <c r="N96" s="16">
        <f t="shared" si="8"/>
        <v>2.0088757396449708</v>
      </c>
    </row>
    <row r="97" spans="1:14" x14ac:dyDescent="0.25">
      <c r="A97" s="9" t="s">
        <v>199</v>
      </c>
      <c r="B97" s="10" t="s">
        <v>200</v>
      </c>
      <c r="C97" s="11" t="s">
        <v>26</v>
      </c>
      <c r="D97" s="11" t="s">
        <v>64</v>
      </c>
      <c r="E97" s="12">
        <v>6.9</v>
      </c>
      <c r="F97" s="13">
        <v>20</v>
      </c>
      <c r="G97" s="14">
        <v>21.9</v>
      </c>
      <c r="H97" s="13">
        <v>50</v>
      </c>
      <c r="I97" s="14">
        <v>19.489999999999998</v>
      </c>
      <c r="J97" s="13">
        <v>100</v>
      </c>
      <c r="K97" s="14">
        <v>17.899999999999999</v>
      </c>
      <c r="L97" s="16">
        <f t="shared" si="6"/>
        <v>3.1739130434782603</v>
      </c>
      <c r="M97" s="16">
        <f t="shared" si="7"/>
        <v>2.82463768115942</v>
      </c>
      <c r="N97" s="16">
        <f t="shared" si="8"/>
        <v>2.5942028985507242</v>
      </c>
    </row>
    <row r="98" spans="1:14" x14ac:dyDescent="0.25">
      <c r="A98" s="9" t="s">
        <v>201</v>
      </c>
      <c r="B98" s="10" t="s">
        <v>202</v>
      </c>
      <c r="C98" s="11" t="s">
        <v>26</v>
      </c>
      <c r="D98" s="11" t="s">
        <v>64</v>
      </c>
      <c r="E98" s="12">
        <v>23.5</v>
      </c>
      <c r="F98" s="13">
        <v>20</v>
      </c>
      <c r="G98" s="14">
        <v>57.9</v>
      </c>
      <c r="H98" s="13">
        <v>50</v>
      </c>
      <c r="I98" s="14">
        <v>52.9</v>
      </c>
      <c r="J98" s="13">
        <v>100</v>
      </c>
      <c r="K98" s="14">
        <v>47.9</v>
      </c>
      <c r="L98" s="16">
        <f t="shared" si="6"/>
        <v>2.4638297872340424</v>
      </c>
      <c r="M98" s="16">
        <f t="shared" si="7"/>
        <v>2.2510638297872338</v>
      </c>
      <c r="N98" s="16">
        <f t="shared" si="8"/>
        <v>2.0382978723404253</v>
      </c>
    </row>
    <row r="99" spans="1:14" x14ac:dyDescent="0.25">
      <c r="A99" s="9" t="s">
        <v>203</v>
      </c>
      <c r="B99" s="10" t="s">
        <v>204</v>
      </c>
      <c r="C99" s="11" t="s">
        <v>26</v>
      </c>
      <c r="D99" s="11" t="s">
        <v>64</v>
      </c>
      <c r="E99" s="12">
        <v>87.9</v>
      </c>
      <c r="F99" s="13">
        <v>20</v>
      </c>
      <c r="G99" s="14">
        <v>154.9</v>
      </c>
      <c r="H99" s="13">
        <v>50</v>
      </c>
      <c r="I99" s="14">
        <v>144.9</v>
      </c>
      <c r="J99" s="13">
        <v>100</v>
      </c>
      <c r="K99" s="14">
        <v>139.9</v>
      </c>
      <c r="L99" s="16">
        <f t="shared" si="6"/>
        <v>1.7622298065984072</v>
      </c>
      <c r="M99" s="16">
        <f t="shared" si="7"/>
        <v>1.6484641638225255</v>
      </c>
      <c r="N99" s="16">
        <f t="shared" si="8"/>
        <v>1.5915813424345848</v>
      </c>
    </row>
    <row r="100" spans="1:14" x14ac:dyDescent="0.25">
      <c r="A100" s="9" t="s">
        <v>205</v>
      </c>
      <c r="B100" s="10" t="s">
        <v>206</v>
      </c>
      <c r="C100" s="11" t="s">
        <v>26</v>
      </c>
      <c r="D100" s="11" t="s">
        <v>64</v>
      </c>
      <c r="E100" s="12">
        <v>32.5</v>
      </c>
      <c r="F100" s="13">
        <v>20</v>
      </c>
      <c r="G100" s="14">
        <v>75.900000000000006</v>
      </c>
      <c r="H100" s="13">
        <v>50</v>
      </c>
      <c r="I100" s="14">
        <v>72.900000000000006</v>
      </c>
      <c r="J100" s="13">
        <v>100</v>
      </c>
      <c r="K100" s="14">
        <v>65.900000000000006</v>
      </c>
      <c r="L100" s="16">
        <f t="shared" si="6"/>
        <v>2.3353846153846156</v>
      </c>
      <c r="M100" s="16">
        <f t="shared" si="7"/>
        <v>2.2430769230769232</v>
      </c>
      <c r="N100" s="16">
        <f t="shared" si="8"/>
        <v>2.0276923076923077</v>
      </c>
    </row>
    <row r="101" spans="1:14" x14ac:dyDescent="0.25">
      <c r="A101" s="9" t="s">
        <v>207</v>
      </c>
      <c r="B101" s="10" t="s">
        <v>208</v>
      </c>
      <c r="C101" s="11" t="s">
        <v>26</v>
      </c>
      <c r="D101" s="11" t="s">
        <v>27</v>
      </c>
      <c r="E101" s="12">
        <v>22</v>
      </c>
      <c r="F101" s="13">
        <v>20</v>
      </c>
      <c r="G101" s="14">
        <v>69.900000000000006</v>
      </c>
      <c r="H101" s="13">
        <v>50</v>
      </c>
      <c r="I101" s="14">
        <v>64.900000000000006</v>
      </c>
      <c r="J101" s="13">
        <v>100</v>
      </c>
      <c r="K101" s="14">
        <v>59.9</v>
      </c>
      <c r="L101" s="16">
        <f t="shared" si="6"/>
        <v>3.1772727272727277</v>
      </c>
      <c r="M101" s="16">
        <f t="shared" si="7"/>
        <v>2.95</v>
      </c>
      <c r="N101" s="16">
        <f t="shared" si="8"/>
        <v>2.7227272727272727</v>
      </c>
    </row>
    <row r="102" spans="1:14" x14ac:dyDescent="0.25">
      <c r="A102" s="9" t="s">
        <v>209</v>
      </c>
      <c r="B102" s="10" t="s">
        <v>210</v>
      </c>
      <c r="C102" s="11" t="s">
        <v>26</v>
      </c>
      <c r="D102" s="11" t="s">
        <v>27</v>
      </c>
      <c r="E102" s="12">
        <v>18</v>
      </c>
      <c r="F102" s="13">
        <v>20</v>
      </c>
      <c r="G102" s="14">
        <v>39.9</v>
      </c>
      <c r="H102" s="13">
        <v>50</v>
      </c>
      <c r="I102" s="14">
        <v>37.9</v>
      </c>
      <c r="J102" s="13">
        <v>100</v>
      </c>
      <c r="K102" s="14">
        <v>34.9</v>
      </c>
      <c r="L102" s="16">
        <f t="shared" si="6"/>
        <v>2.2166666666666668</v>
      </c>
      <c r="M102" s="16">
        <f t="shared" si="7"/>
        <v>2.1055555555555556</v>
      </c>
      <c r="N102" s="16">
        <f t="shared" si="8"/>
        <v>1.9388888888888889</v>
      </c>
    </row>
    <row r="103" spans="1:14" x14ac:dyDescent="0.25">
      <c r="A103" s="9" t="s">
        <v>211</v>
      </c>
      <c r="B103" s="10" t="s">
        <v>212</v>
      </c>
      <c r="C103" s="11" t="s">
        <v>26</v>
      </c>
      <c r="D103" s="11" t="s">
        <v>27</v>
      </c>
      <c r="E103" s="12">
        <v>24.5</v>
      </c>
      <c r="F103" s="13">
        <v>20</v>
      </c>
      <c r="G103" s="14">
        <v>58.8</v>
      </c>
      <c r="H103" s="13">
        <v>50</v>
      </c>
      <c r="I103" s="14">
        <v>51.45</v>
      </c>
      <c r="J103" s="13">
        <v>100</v>
      </c>
      <c r="K103" s="14">
        <v>46.55</v>
      </c>
      <c r="L103" s="16">
        <f t="shared" si="6"/>
        <v>2.4</v>
      </c>
      <c r="M103" s="16">
        <f t="shared" si="7"/>
        <v>2.1</v>
      </c>
      <c r="N103" s="16">
        <f t="shared" si="8"/>
        <v>1.9</v>
      </c>
    </row>
    <row r="104" spans="1:14" x14ac:dyDescent="0.25">
      <c r="A104" s="9" t="s">
        <v>213</v>
      </c>
      <c r="B104" s="10" t="s">
        <v>214</v>
      </c>
      <c r="C104" s="11" t="s">
        <v>26</v>
      </c>
      <c r="D104" s="11" t="s">
        <v>27</v>
      </c>
      <c r="E104" s="12">
        <v>20</v>
      </c>
      <c r="F104" s="13">
        <v>20</v>
      </c>
      <c r="G104" s="14">
        <v>49.9</v>
      </c>
      <c r="H104" s="13">
        <v>50</v>
      </c>
      <c r="I104" s="14">
        <v>44.9</v>
      </c>
      <c r="J104" s="13">
        <v>100</v>
      </c>
      <c r="K104" s="14">
        <v>39.9</v>
      </c>
      <c r="L104" s="16">
        <f t="shared" si="6"/>
        <v>2.4950000000000001</v>
      </c>
      <c r="M104" s="16">
        <f t="shared" si="7"/>
        <v>2.2450000000000001</v>
      </c>
      <c r="N104" s="16">
        <f t="shared" si="8"/>
        <v>1.9949999999999999</v>
      </c>
    </row>
    <row r="105" spans="1:14" x14ac:dyDescent="0.25">
      <c r="A105" s="9" t="s">
        <v>215</v>
      </c>
      <c r="B105" s="10" t="s">
        <v>216</v>
      </c>
      <c r="C105" s="11" t="s">
        <v>26</v>
      </c>
      <c r="D105" s="11" t="s">
        <v>181</v>
      </c>
      <c r="E105" s="12">
        <v>11</v>
      </c>
      <c r="F105" s="13">
        <v>20</v>
      </c>
      <c r="G105" s="14">
        <v>27.9</v>
      </c>
      <c r="H105" s="13">
        <v>50</v>
      </c>
      <c r="I105" s="14">
        <v>26.9</v>
      </c>
      <c r="J105" s="13">
        <v>100</v>
      </c>
      <c r="K105" s="14">
        <v>24.9</v>
      </c>
      <c r="L105" s="16">
        <f t="shared" si="6"/>
        <v>2.5363636363636362</v>
      </c>
      <c r="M105" s="16">
        <f t="shared" si="7"/>
        <v>2.4454545454545453</v>
      </c>
      <c r="N105" s="16">
        <f t="shared" si="8"/>
        <v>2.2636363636363637</v>
      </c>
    </row>
    <row r="106" spans="1:14" x14ac:dyDescent="0.25">
      <c r="A106" s="9" t="s">
        <v>217</v>
      </c>
      <c r="B106" s="10" t="s">
        <v>218</v>
      </c>
      <c r="C106" s="11" t="s">
        <v>26</v>
      </c>
      <c r="D106" s="11" t="s">
        <v>181</v>
      </c>
      <c r="E106" s="12">
        <v>21</v>
      </c>
      <c r="F106" s="13">
        <v>20</v>
      </c>
      <c r="G106" s="14">
        <v>50.4</v>
      </c>
      <c r="H106" s="13">
        <v>50</v>
      </c>
      <c r="I106" s="14">
        <v>47.5</v>
      </c>
      <c r="J106" s="13">
        <v>100</v>
      </c>
      <c r="K106" s="14">
        <v>44.9</v>
      </c>
      <c r="L106" s="16">
        <f t="shared" si="6"/>
        <v>2.4</v>
      </c>
      <c r="M106" s="16">
        <f t="shared" si="7"/>
        <v>2.2619047619047619</v>
      </c>
      <c r="N106" s="16">
        <f t="shared" si="8"/>
        <v>2.138095238095238</v>
      </c>
    </row>
    <row r="107" spans="1:14" x14ac:dyDescent="0.25">
      <c r="A107" s="9" t="s">
        <v>219</v>
      </c>
      <c r="B107" s="10" t="s">
        <v>220</v>
      </c>
      <c r="C107" s="11" t="s">
        <v>26</v>
      </c>
      <c r="D107" s="11" t="s">
        <v>84</v>
      </c>
      <c r="E107" s="12">
        <v>18.899999999999999</v>
      </c>
      <c r="F107" s="13">
        <v>20</v>
      </c>
      <c r="G107" s="14">
        <v>43.9</v>
      </c>
      <c r="H107" s="13">
        <v>50</v>
      </c>
      <c r="I107" s="14">
        <v>40.9</v>
      </c>
      <c r="J107" s="13">
        <v>100</v>
      </c>
      <c r="K107" s="14">
        <v>38.9</v>
      </c>
      <c r="L107" s="16">
        <f t="shared" si="6"/>
        <v>2.3227513227513228</v>
      </c>
      <c r="M107" s="16">
        <f t="shared" si="7"/>
        <v>2.1640211640211642</v>
      </c>
      <c r="N107" s="16">
        <f t="shared" si="8"/>
        <v>2.0582010582010581</v>
      </c>
    </row>
    <row r="109" spans="1:14" x14ac:dyDescent="0.25">
      <c r="A109" s="2" t="s">
        <v>221</v>
      </c>
    </row>
  </sheetData>
  <autoFilter ref="A10:N107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8.7109375" defaultRowHeight="15" x14ac:dyDescent="0.25"/>
  <cols>
    <col min="1" max="1" width="12" customWidth="1"/>
    <col min="2" max="2" width="42" customWidth="1"/>
    <col min="3" max="3" width="11" customWidth="1"/>
    <col min="4" max="4" width="26" customWidth="1"/>
    <col min="5" max="5" width="11" customWidth="1"/>
    <col min="6" max="6" width="10" customWidth="1"/>
    <col min="7" max="7" width="15" customWidth="1"/>
    <col min="8" max="8" width="10" customWidth="1"/>
    <col min="9" max="9" width="15" customWidth="1"/>
    <col min="10" max="10" width="10" customWidth="1"/>
    <col min="11" max="11" width="15" customWidth="1"/>
    <col min="12" max="14" width="8" customWidth="1"/>
  </cols>
  <sheetData>
    <row r="1" spans="1:14" ht="16.5" customHeight="1" x14ac:dyDescent="0.25">
      <c r="A1" s="1" t="s">
        <v>222</v>
      </c>
    </row>
    <row r="2" spans="1:14" x14ac:dyDescent="0.25">
      <c r="A2" s="2" t="s">
        <v>223</v>
      </c>
    </row>
    <row r="4" spans="1:14" x14ac:dyDescent="0.25">
      <c r="A4" s="3" t="s">
        <v>2</v>
      </c>
    </row>
    <row r="5" spans="1:14" x14ac:dyDescent="0.25">
      <c r="A5" s="4" t="s">
        <v>3</v>
      </c>
    </row>
    <row r="6" spans="1:14" x14ac:dyDescent="0.25">
      <c r="A6" s="4" t="s">
        <v>4</v>
      </c>
    </row>
    <row r="7" spans="1:14" x14ac:dyDescent="0.25">
      <c r="A7" s="4" t="s">
        <v>5</v>
      </c>
    </row>
    <row r="8" spans="1:14" x14ac:dyDescent="0.25">
      <c r="A8" s="4" t="s">
        <v>6</v>
      </c>
    </row>
    <row r="10" spans="1:14" ht="30" customHeight="1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</row>
    <row r="11" spans="1:14" x14ac:dyDescent="0.25">
      <c r="A11" s="6" t="s">
        <v>21</v>
      </c>
      <c r="B11" s="6" t="s">
        <v>22</v>
      </c>
      <c r="C11" s="6" t="s">
        <v>23</v>
      </c>
      <c r="D11" s="6" t="s">
        <v>23</v>
      </c>
      <c r="E11" s="7">
        <v>10</v>
      </c>
      <c r="F11" s="6">
        <v>20</v>
      </c>
      <c r="G11" s="7">
        <v>25</v>
      </c>
      <c r="H11" s="6">
        <v>50</v>
      </c>
      <c r="I11" s="7">
        <v>22</v>
      </c>
      <c r="J11" s="6">
        <v>100</v>
      </c>
      <c r="K11" s="7">
        <v>20</v>
      </c>
      <c r="L11" s="8">
        <f t="shared" ref="L11:L51" si="0">IFERROR(G11/$E11,"")</f>
        <v>2.5</v>
      </c>
      <c r="M11" s="8">
        <f t="shared" ref="M11:M51" si="1">IFERROR(I11/$E11,"")</f>
        <v>2.2000000000000002</v>
      </c>
      <c r="N11" s="8">
        <f t="shared" ref="N11:N51" si="2">IFERROR(K11/$E11,"")</f>
        <v>2</v>
      </c>
    </row>
    <row r="12" spans="1:14" x14ac:dyDescent="0.25">
      <c r="A12" s="9" t="s">
        <v>224</v>
      </c>
      <c r="B12" s="10" t="s">
        <v>225</v>
      </c>
      <c r="C12" s="11" t="s">
        <v>226</v>
      </c>
      <c r="D12" s="11" t="s">
        <v>64</v>
      </c>
      <c r="E12" s="12">
        <v>36.5</v>
      </c>
      <c r="F12" s="13">
        <v>20</v>
      </c>
      <c r="G12" s="14">
        <v>87.6</v>
      </c>
      <c r="H12" s="13">
        <v>50</v>
      </c>
      <c r="I12" s="14">
        <v>76.650000000000006</v>
      </c>
      <c r="J12" s="13">
        <v>100</v>
      </c>
      <c r="K12" s="14">
        <v>69.349999999999994</v>
      </c>
      <c r="L12" s="15">
        <f t="shared" si="0"/>
        <v>2.4</v>
      </c>
      <c r="M12" s="16">
        <f t="shared" si="1"/>
        <v>2.1</v>
      </c>
      <c r="N12" s="16">
        <f t="shared" si="2"/>
        <v>1.9</v>
      </c>
    </row>
    <row r="13" spans="1:14" x14ac:dyDescent="0.25">
      <c r="A13" s="9" t="s">
        <v>227</v>
      </c>
      <c r="B13" s="10" t="s">
        <v>228</v>
      </c>
      <c r="C13" s="11" t="s">
        <v>226</v>
      </c>
      <c r="D13" s="11" t="s">
        <v>27</v>
      </c>
      <c r="E13" s="12">
        <v>7.2</v>
      </c>
      <c r="F13" s="13">
        <v>20</v>
      </c>
      <c r="G13" s="14">
        <v>21.6</v>
      </c>
      <c r="H13" s="13">
        <v>50</v>
      </c>
      <c r="I13" s="14">
        <v>19.440000000000001</v>
      </c>
      <c r="J13" s="13">
        <v>100</v>
      </c>
      <c r="K13" s="14">
        <v>17.28</v>
      </c>
      <c r="L13" s="16">
        <f t="shared" si="0"/>
        <v>3</v>
      </c>
      <c r="M13" s="16">
        <f t="shared" si="1"/>
        <v>2.7</v>
      </c>
      <c r="N13" s="16">
        <f t="shared" si="2"/>
        <v>2.4</v>
      </c>
    </row>
    <row r="14" spans="1:14" x14ac:dyDescent="0.25">
      <c r="A14" s="9" t="s">
        <v>229</v>
      </c>
      <c r="B14" s="10" t="s">
        <v>230</v>
      </c>
      <c r="C14" s="11" t="s">
        <v>226</v>
      </c>
      <c r="D14" s="11" t="s">
        <v>27</v>
      </c>
      <c r="E14" s="12">
        <v>3.1</v>
      </c>
      <c r="F14" s="13">
        <v>20</v>
      </c>
      <c r="G14" s="14">
        <v>10.85</v>
      </c>
      <c r="H14" s="13">
        <v>50</v>
      </c>
      <c r="I14" s="14">
        <v>9.61</v>
      </c>
      <c r="J14" s="13">
        <v>100</v>
      </c>
      <c r="K14" s="14">
        <v>8.68</v>
      </c>
      <c r="L14" s="15">
        <f t="shared" si="0"/>
        <v>3.5</v>
      </c>
      <c r="M14" s="16">
        <f t="shared" si="1"/>
        <v>3.0999999999999996</v>
      </c>
      <c r="N14" s="16">
        <f t="shared" si="2"/>
        <v>2.8</v>
      </c>
    </row>
    <row r="15" spans="1:14" x14ac:dyDescent="0.25">
      <c r="A15" s="9" t="s">
        <v>231</v>
      </c>
      <c r="B15" s="10" t="s">
        <v>232</v>
      </c>
      <c r="C15" s="11" t="s">
        <v>226</v>
      </c>
      <c r="D15" s="11" t="s">
        <v>27</v>
      </c>
      <c r="E15" s="12">
        <v>20.5</v>
      </c>
      <c r="F15" s="13">
        <v>20</v>
      </c>
      <c r="G15" s="14">
        <v>49.2</v>
      </c>
      <c r="H15" s="13">
        <v>50</v>
      </c>
      <c r="I15" s="14">
        <v>43.05</v>
      </c>
      <c r="J15" s="13">
        <v>100</v>
      </c>
      <c r="K15" s="14">
        <v>38.950000000000003</v>
      </c>
      <c r="L15" s="16">
        <f t="shared" si="0"/>
        <v>2.4000000000000004</v>
      </c>
      <c r="M15" s="16">
        <f t="shared" si="1"/>
        <v>2.0999999999999996</v>
      </c>
      <c r="N15" s="16">
        <f t="shared" si="2"/>
        <v>1.9000000000000001</v>
      </c>
    </row>
    <row r="16" spans="1:14" x14ac:dyDescent="0.25">
      <c r="A16" s="9" t="s">
        <v>233</v>
      </c>
      <c r="B16" s="10" t="s">
        <v>234</v>
      </c>
      <c r="C16" s="11" t="s">
        <v>226</v>
      </c>
      <c r="D16" s="11" t="s">
        <v>27</v>
      </c>
      <c r="E16" s="12">
        <v>9.4499999999999993</v>
      </c>
      <c r="F16" s="13">
        <v>20</v>
      </c>
      <c r="G16" s="14">
        <v>28.35</v>
      </c>
      <c r="H16" s="13">
        <v>50</v>
      </c>
      <c r="I16" s="14">
        <v>25.52</v>
      </c>
      <c r="J16" s="13">
        <v>100</v>
      </c>
      <c r="K16" s="14">
        <v>22.68</v>
      </c>
      <c r="L16" s="15">
        <f t="shared" si="0"/>
        <v>3.0000000000000004</v>
      </c>
      <c r="M16" s="16">
        <f t="shared" si="1"/>
        <v>2.7005291005291006</v>
      </c>
      <c r="N16" s="16">
        <f t="shared" si="2"/>
        <v>2.4000000000000004</v>
      </c>
    </row>
    <row r="17" spans="1:14" x14ac:dyDescent="0.25">
      <c r="A17" s="9" t="s">
        <v>235</v>
      </c>
      <c r="B17" s="10" t="s">
        <v>236</v>
      </c>
      <c r="C17" s="11" t="s">
        <v>226</v>
      </c>
      <c r="D17" s="11" t="s">
        <v>27</v>
      </c>
      <c r="E17" s="12">
        <v>8.5</v>
      </c>
      <c r="F17" s="13">
        <v>20</v>
      </c>
      <c r="G17" s="14">
        <v>25.5</v>
      </c>
      <c r="H17" s="13">
        <v>50</v>
      </c>
      <c r="I17" s="14">
        <v>22.95</v>
      </c>
      <c r="J17" s="13">
        <v>100</v>
      </c>
      <c r="K17" s="14">
        <v>20.399999999999999</v>
      </c>
      <c r="L17" s="16">
        <f t="shared" si="0"/>
        <v>3</v>
      </c>
      <c r="M17" s="16">
        <f t="shared" si="1"/>
        <v>2.6999999999999997</v>
      </c>
      <c r="N17" s="16">
        <f t="shared" si="2"/>
        <v>2.4</v>
      </c>
    </row>
    <row r="18" spans="1:14" x14ac:dyDescent="0.25">
      <c r="A18" s="9" t="s">
        <v>237</v>
      </c>
      <c r="B18" s="10" t="s">
        <v>238</v>
      </c>
      <c r="C18" s="11" t="s">
        <v>226</v>
      </c>
      <c r="D18" s="11" t="s">
        <v>27</v>
      </c>
      <c r="E18" s="12">
        <v>18.899999999999999</v>
      </c>
      <c r="F18" s="13">
        <v>20</v>
      </c>
      <c r="G18" s="14">
        <v>49.14</v>
      </c>
      <c r="H18" s="13">
        <v>50</v>
      </c>
      <c r="I18" s="14">
        <v>43.47</v>
      </c>
      <c r="J18" s="13">
        <v>100</v>
      </c>
      <c r="K18" s="14">
        <v>39.69</v>
      </c>
      <c r="L18" s="16">
        <f t="shared" si="0"/>
        <v>2.6</v>
      </c>
      <c r="M18" s="16">
        <f t="shared" si="1"/>
        <v>2.3000000000000003</v>
      </c>
      <c r="N18" s="16">
        <f t="shared" si="2"/>
        <v>2.1</v>
      </c>
    </row>
    <row r="19" spans="1:14" x14ac:dyDescent="0.25">
      <c r="A19" s="9" t="s">
        <v>239</v>
      </c>
      <c r="B19" s="10" t="s">
        <v>240</v>
      </c>
      <c r="C19" s="11" t="s">
        <v>226</v>
      </c>
      <c r="D19" s="11" t="s">
        <v>27</v>
      </c>
      <c r="E19" s="12">
        <v>11.5</v>
      </c>
      <c r="F19" s="13">
        <v>20</v>
      </c>
      <c r="G19" s="14">
        <v>29.9</v>
      </c>
      <c r="H19" s="13">
        <v>50</v>
      </c>
      <c r="I19" s="14">
        <v>26.45</v>
      </c>
      <c r="J19" s="13">
        <v>100</v>
      </c>
      <c r="K19" s="14">
        <v>24.15</v>
      </c>
      <c r="L19" s="16">
        <f t="shared" si="0"/>
        <v>2.6</v>
      </c>
      <c r="M19" s="16">
        <f t="shared" si="1"/>
        <v>2.2999999999999998</v>
      </c>
      <c r="N19" s="16">
        <f t="shared" si="2"/>
        <v>2.1</v>
      </c>
    </row>
    <row r="20" spans="1:14" x14ac:dyDescent="0.25">
      <c r="A20" s="9" t="s">
        <v>241</v>
      </c>
      <c r="B20" s="10" t="s">
        <v>242</v>
      </c>
      <c r="C20" s="11" t="s">
        <v>226</v>
      </c>
      <c r="D20" s="11" t="s">
        <v>27</v>
      </c>
      <c r="E20" s="12">
        <v>9.1999999999999993</v>
      </c>
      <c r="F20" s="13">
        <v>20</v>
      </c>
      <c r="G20" s="14">
        <v>27.6</v>
      </c>
      <c r="H20" s="13">
        <v>50</v>
      </c>
      <c r="I20" s="14">
        <v>24.84</v>
      </c>
      <c r="J20" s="13">
        <v>100</v>
      </c>
      <c r="K20" s="14">
        <v>22.08</v>
      </c>
      <c r="L20" s="16">
        <f t="shared" si="0"/>
        <v>3.0000000000000004</v>
      </c>
      <c r="M20" s="16">
        <f t="shared" si="1"/>
        <v>2.7</v>
      </c>
      <c r="N20" s="16">
        <f t="shared" si="2"/>
        <v>2.4</v>
      </c>
    </row>
    <row r="21" spans="1:14" x14ac:dyDescent="0.25">
      <c r="A21" s="9" t="s">
        <v>243</v>
      </c>
      <c r="B21" s="10" t="s">
        <v>244</v>
      </c>
      <c r="C21" s="11" t="s">
        <v>226</v>
      </c>
      <c r="D21" s="11" t="s">
        <v>27</v>
      </c>
      <c r="E21" s="12">
        <v>11.5</v>
      </c>
      <c r="F21" s="13">
        <v>20</v>
      </c>
      <c r="G21" s="14">
        <v>29.9</v>
      </c>
      <c r="H21" s="13">
        <v>50</v>
      </c>
      <c r="I21" s="14">
        <v>26.45</v>
      </c>
      <c r="J21" s="13">
        <v>100</v>
      </c>
      <c r="K21" s="14">
        <v>24.15</v>
      </c>
      <c r="L21" s="16">
        <f t="shared" si="0"/>
        <v>2.6</v>
      </c>
      <c r="M21" s="16">
        <f t="shared" si="1"/>
        <v>2.2999999999999998</v>
      </c>
      <c r="N21" s="16">
        <f t="shared" si="2"/>
        <v>2.1</v>
      </c>
    </row>
    <row r="22" spans="1:14" x14ac:dyDescent="0.25">
      <c r="A22" s="9" t="s">
        <v>245</v>
      </c>
      <c r="B22" s="10" t="s">
        <v>246</v>
      </c>
      <c r="C22" s="11" t="s">
        <v>226</v>
      </c>
      <c r="D22" s="11" t="s">
        <v>64</v>
      </c>
      <c r="E22" s="12">
        <v>10.9</v>
      </c>
      <c r="F22" s="13">
        <v>20</v>
      </c>
      <c r="G22" s="14">
        <v>28.34</v>
      </c>
      <c r="H22" s="13">
        <v>50</v>
      </c>
      <c r="I22" s="14">
        <v>25.07</v>
      </c>
      <c r="J22" s="13">
        <v>100</v>
      </c>
      <c r="K22" s="14">
        <v>22.89</v>
      </c>
      <c r="L22" s="16">
        <f t="shared" si="0"/>
        <v>2.6</v>
      </c>
      <c r="M22" s="16">
        <f t="shared" si="1"/>
        <v>2.2999999999999998</v>
      </c>
      <c r="N22" s="16">
        <f t="shared" si="2"/>
        <v>2.1</v>
      </c>
    </row>
    <row r="23" spans="1:14" x14ac:dyDescent="0.25">
      <c r="A23" s="9" t="s">
        <v>247</v>
      </c>
      <c r="B23" s="10" t="s">
        <v>248</v>
      </c>
      <c r="C23" s="11" t="s">
        <v>226</v>
      </c>
      <c r="D23" s="11" t="s">
        <v>64</v>
      </c>
      <c r="E23" s="12">
        <v>25</v>
      </c>
      <c r="F23" s="13">
        <v>20</v>
      </c>
      <c r="G23" s="14">
        <v>60</v>
      </c>
      <c r="H23" s="13">
        <v>50</v>
      </c>
      <c r="I23" s="14">
        <v>52.5</v>
      </c>
      <c r="J23" s="13">
        <v>100</v>
      </c>
      <c r="K23" s="14">
        <v>47.5</v>
      </c>
      <c r="L23" s="16">
        <f t="shared" si="0"/>
        <v>2.4</v>
      </c>
      <c r="M23" s="16">
        <f t="shared" si="1"/>
        <v>2.1</v>
      </c>
      <c r="N23" s="16">
        <f t="shared" si="2"/>
        <v>1.9</v>
      </c>
    </row>
    <row r="24" spans="1:14" x14ac:dyDescent="0.25">
      <c r="A24" s="9" t="s">
        <v>249</v>
      </c>
      <c r="B24" s="10" t="s">
        <v>250</v>
      </c>
      <c r="C24" s="11" t="s">
        <v>226</v>
      </c>
      <c r="D24" s="11" t="s">
        <v>64</v>
      </c>
      <c r="E24" s="12">
        <v>6.2</v>
      </c>
      <c r="F24" s="13">
        <v>20</v>
      </c>
      <c r="G24" s="14">
        <v>18.600000000000001</v>
      </c>
      <c r="H24" s="13">
        <v>50</v>
      </c>
      <c r="I24" s="14">
        <v>16.739999999999998</v>
      </c>
      <c r="J24" s="13">
        <v>100</v>
      </c>
      <c r="K24" s="14">
        <v>14.88</v>
      </c>
      <c r="L24" s="16">
        <f t="shared" si="0"/>
        <v>3</v>
      </c>
      <c r="M24" s="16">
        <f t="shared" si="1"/>
        <v>2.6999999999999997</v>
      </c>
      <c r="N24" s="16">
        <f t="shared" si="2"/>
        <v>2.4</v>
      </c>
    </row>
    <row r="25" spans="1:14" x14ac:dyDescent="0.25">
      <c r="A25" s="9" t="s">
        <v>251</v>
      </c>
      <c r="B25" s="10" t="s">
        <v>252</v>
      </c>
      <c r="C25" s="11" t="s">
        <v>226</v>
      </c>
      <c r="D25" s="11" t="s">
        <v>64</v>
      </c>
      <c r="E25" s="12">
        <v>28.9</v>
      </c>
      <c r="F25" s="13">
        <v>20</v>
      </c>
      <c r="G25" s="14">
        <v>69.36</v>
      </c>
      <c r="H25" s="13">
        <v>50</v>
      </c>
      <c r="I25" s="14">
        <v>60.69</v>
      </c>
      <c r="J25" s="13">
        <v>100</v>
      </c>
      <c r="K25" s="14">
        <v>54.91</v>
      </c>
      <c r="L25" s="16">
        <f t="shared" si="0"/>
        <v>2.4</v>
      </c>
      <c r="M25" s="16">
        <f t="shared" si="1"/>
        <v>2.1</v>
      </c>
      <c r="N25" s="16">
        <f t="shared" si="2"/>
        <v>1.9</v>
      </c>
    </row>
    <row r="26" spans="1:14" x14ac:dyDescent="0.25">
      <c r="A26" s="9" t="s">
        <v>253</v>
      </c>
      <c r="B26" s="10" t="s">
        <v>254</v>
      </c>
      <c r="C26" s="11" t="s">
        <v>226</v>
      </c>
      <c r="D26" s="11" t="s">
        <v>64</v>
      </c>
      <c r="E26" s="12">
        <v>19.7</v>
      </c>
      <c r="F26" s="13">
        <v>20</v>
      </c>
      <c r="G26" s="14">
        <v>51.22</v>
      </c>
      <c r="H26" s="13">
        <v>50</v>
      </c>
      <c r="I26" s="14">
        <v>45.31</v>
      </c>
      <c r="J26" s="13">
        <v>100</v>
      </c>
      <c r="K26" s="14">
        <v>41.37</v>
      </c>
      <c r="L26" s="16">
        <f t="shared" si="0"/>
        <v>2.6</v>
      </c>
      <c r="M26" s="16">
        <f t="shared" si="1"/>
        <v>2.3000000000000003</v>
      </c>
      <c r="N26" s="16">
        <f t="shared" si="2"/>
        <v>2.1</v>
      </c>
    </row>
    <row r="27" spans="1:14" x14ac:dyDescent="0.25">
      <c r="A27" s="9" t="s">
        <v>255</v>
      </c>
      <c r="B27" s="10" t="s">
        <v>256</v>
      </c>
      <c r="C27" s="11" t="s">
        <v>226</v>
      </c>
      <c r="D27" s="11" t="s">
        <v>64</v>
      </c>
      <c r="E27" s="12">
        <v>165</v>
      </c>
      <c r="F27" s="13">
        <v>20</v>
      </c>
      <c r="G27" s="14">
        <v>330</v>
      </c>
      <c r="H27" s="13">
        <v>50</v>
      </c>
      <c r="I27" s="14">
        <v>297</v>
      </c>
      <c r="J27" s="13">
        <v>100</v>
      </c>
      <c r="K27" s="14">
        <v>264</v>
      </c>
      <c r="L27" s="16">
        <f t="shared" si="0"/>
        <v>2</v>
      </c>
      <c r="M27" s="16">
        <f t="shared" si="1"/>
        <v>1.8</v>
      </c>
      <c r="N27" s="16">
        <f t="shared" si="2"/>
        <v>1.6</v>
      </c>
    </row>
    <row r="28" spans="1:14" x14ac:dyDescent="0.25">
      <c r="A28" s="9" t="s">
        <v>257</v>
      </c>
      <c r="B28" s="10" t="s">
        <v>258</v>
      </c>
      <c r="C28" s="11" t="s">
        <v>226</v>
      </c>
      <c r="D28" s="11" t="s">
        <v>84</v>
      </c>
      <c r="E28" s="12">
        <v>9.9</v>
      </c>
      <c r="F28" s="13">
        <v>20</v>
      </c>
      <c r="G28" s="14">
        <v>29.7</v>
      </c>
      <c r="H28" s="13">
        <v>50</v>
      </c>
      <c r="I28" s="14">
        <v>26.73</v>
      </c>
      <c r="J28" s="13">
        <v>100</v>
      </c>
      <c r="K28" s="14">
        <v>23.76</v>
      </c>
      <c r="L28" s="16">
        <f t="shared" si="0"/>
        <v>3</v>
      </c>
      <c r="M28" s="16">
        <f t="shared" si="1"/>
        <v>2.6999999999999997</v>
      </c>
      <c r="N28" s="16">
        <f t="shared" si="2"/>
        <v>2.4</v>
      </c>
    </row>
    <row r="29" spans="1:14" x14ac:dyDescent="0.25">
      <c r="A29" s="9" t="s">
        <v>259</v>
      </c>
      <c r="B29" s="10" t="s">
        <v>260</v>
      </c>
      <c r="C29" s="11" t="s">
        <v>226</v>
      </c>
      <c r="D29" s="11" t="s">
        <v>84</v>
      </c>
      <c r="E29" s="12">
        <v>6.9</v>
      </c>
      <c r="F29" s="13">
        <v>20</v>
      </c>
      <c r="G29" s="14">
        <v>20.7</v>
      </c>
      <c r="H29" s="13">
        <v>50</v>
      </c>
      <c r="I29" s="14">
        <v>18.63</v>
      </c>
      <c r="J29" s="13">
        <v>100</v>
      </c>
      <c r="K29" s="14">
        <v>16.559999999999999</v>
      </c>
      <c r="L29" s="16">
        <f t="shared" si="0"/>
        <v>2.9999999999999996</v>
      </c>
      <c r="M29" s="16">
        <f t="shared" si="1"/>
        <v>2.6999999999999997</v>
      </c>
      <c r="N29" s="16">
        <f t="shared" si="2"/>
        <v>2.4</v>
      </c>
    </row>
    <row r="30" spans="1:14" x14ac:dyDescent="0.25">
      <c r="A30" s="9" t="s">
        <v>261</v>
      </c>
      <c r="B30" s="10" t="s">
        <v>262</v>
      </c>
      <c r="C30" s="11" t="s">
        <v>226</v>
      </c>
      <c r="D30" s="11" t="s">
        <v>102</v>
      </c>
      <c r="E30" s="12">
        <v>7.5</v>
      </c>
      <c r="F30" s="13">
        <v>20</v>
      </c>
      <c r="G30" s="14">
        <v>22.5</v>
      </c>
      <c r="H30" s="13">
        <v>50</v>
      </c>
      <c r="I30" s="14">
        <v>20.25</v>
      </c>
      <c r="J30" s="13">
        <v>100</v>
      </c>
      <c r="K30" s="14">
        <v>18</v>
      </c>
      <c r="L30" s="16">
        <f t="shared" si="0"/>
        <v>3</v>
      </c>
      <c r="M30" s="16">
        <f t="shared" si="1"/>
        <v>2.7</v>
      </c>
      <c r="N30" s="16">
        <f t="shared" si="2"/>
        <v>2.4</v>
      </c>
    </row>
    <row r="31" spans="1:14" x14ac:dyDescent="0.25">
      <c r="A31" s="9" t="s">
        <v>263</v>
      </c>
      <c r="B31" s="10" t="s">
        <v>264</v>
      </c>
      <c r="C31" s="11" t="s">
        <v>226</v>
      </c>
      <c r="D31" s="11" t="s">
        <v>102</v>
      </c>
      <c r="E31" s="12">
        <v>3.5</v>
      </c>
      <c r="F31" s="13">
        <v>20</v>
      </c>
      <c r="G31" s="14">
        <v>12.25</v>
      </c>
      <c r="H31" s="13">
        <v>50</v>
      </c>
      <c r="I31" s="14">
        <v>10.85</v>
      </c>
      <c r="J31" s="13">
        <v>100</v>
      </c>
      <c r="K31" s="14">
        <v>9.8000000000000007</v>
      </c>
      <c r="L31" s="16">
        <f t="shared" si="0"/>
        <v>3.5</v>
      </c>
      <c r="M31" s="16">
        <f t="shared" si="1"/>
        <v>3.1</v>
      </c>
      <c r="N31" s="16">
        <f t="shared" si="2"/>
        <v>2.8000000000000003</v>
      </c>
    </row>
    <row r="32" spans="1:14" x14ac:dyDescent="0.25">
      <c r="A32" s="9" t="s">
        <v>265</v>
      </c>
      <c r="B32" s="10" t="s">
        <v>266</v>
      </c>
      <c r="C32" s="11" t="s">
        <v>226</v>
      </c>
      <c r="D32" s="11" t="s">
        <v>102</v>
      </c>
      <c r="E32" s="12">
        <v>4.5</v>
      </c>
      <c r="F32" s="13">
        <v>20</v>
      </c>
      <c r="G32" s="14">
        <v>15.75</v>
      </c>
      <c r="H32" s="13">
        <v>50</v>
      </c>
      <c r="I32" s="14">
        <v>13.95</v>
      </c>
      <c r="J32" s="13">
        <v>100</v>
      </c>
      <c r="K32" s="14">
        <v>12.6</v>
      </c>
      <c r="L32" s="16">
        <f t="shared" si="0"/>
        <v>3.5</v>
      </c>
      <c r="M32" s="16">
        <f t="shared" si="1"/>
        <v>3.0999999999999996</v>
      </c>
      <c r="N32" s="16">
        <f t="shared" si="2"/>
        <v>2.8</v>
      </c>
    </row>
    <row r="33" spans="1:14" x14ac:dyDescent="0.25">
      <c r="A33" s="9" t="s">
        <v>267</v>
      </c>
      <c r="B33" s="10" t="s">
        <v>268</v>
      </c>
      <c r="C33" s="11" t="s">
        <v>226</v>
      </c>
      <c r="D33" s="11" t="s">
        <v>102</v>
      </c>
      <c r="E33" s="12">
        <v>4.2</v>
      </c>
      <c r="F33" s="13">
        <v>20</v>
      </c>
      <c r="G33" s="14">
        <v>14.7</v>
      </c>
      <c r="H33" s="13">
        <v>50</v>
      </c>
      <c r="I33" s="14">
        <v>13.02</v>
      </c>
      <c r="J33" s="13">
        <v>100</v>
      </c>
      <c r="K33" s="14">
        <v>11.76</v>
      </c>
      <c r="L33" s="16">
        <f t="shared" si="0"/>
        <v>3.4999999999999996</v>
      </c>
      <c r="M33" s="16">
        <f t="shared" si="1"/>
        <v>3.0999999999999996</v>
      </c>
      <c r="N33" s="16">
        <f t="shared" si="2"/>
        <v>2.8</v>
      </c>
    </row>
    <row r="34" spans="1:14" x14ac:dyDescent="0.25">
      <c r="A34" s="9" t="s">
        <v>269</v>
      </c>
      <c r="B34" s="10" t="s">
        <v>270</v>
      </c>
      <c r="C34" s="11" t="s">
        <v>226</v>
      </c>
      <c r="D34" s="11" t="s">
        <v>102</v>
      </c>
      <c r="E34" s="12">
        <v>1.9</v>
      </c>
      <c r="F34" s="13">
        <v>100</v>
      </c>
      <c r="G34" s="14">
        <v>6.65</v>
      </c>
      <c r="H34" s="13">
        <v>200</v>
      </c>
      <c r="I34" s="14">
        <v>5.89</v>
      </c>
      <c r="J34" s="13">
        <v>1000</v>
      </c>
      <c r="K34" s="14">
        <v>5.32</v>
      </c>
      <c r="L34" s="16">
        <f t="shared" si="0"/>
        <v>3.5000000000000004</v>
      </c>
      <c r="M34" s="16">
        <f t="shared" si="1"/>
        <v>3.1</v>
      </c>
      <c r="N34" s="16">
        <f t="shared" si="2"/>
        <v>2.8000000000000003</v>
      </c>
    </row>
    <row r="35" spans="1:14" x14ac:dyDescent="0.25">
      <c r="A35" s="9" t="s">
        <v>271</v>
      </c>
      <c r="B35" s="10" t="s">
        <v>128</v>
      </c>
      <c r="C35" s="11" t="s">
        <v>226</v>
      </c>
      <c r="D35" s="11" t="s">
        <v>120</v>
      </c>
      <c r="E35" s="12">
        <v>8.5</v>
      </c>
      <c r="F35" s="13">
        <v>20</v>
      </c>
      <c r="G35" s="14">
        <v>25.5</v>
      </c>
      <c r="H35" s="13">
        <v>50</v>
      </c>
      <c r="I35" s="14">
        <v>22.95</v>
      </c>
      <c r="J35" s="13">
        <v>100</v>
      </c>
      <c r="K35" s="14">
        <v>20.399999999999999</v>
      </c>
      <c r="L35" s="16">
        <f t="shared" si="0"/>
        <v>3</v>
      </c>
      <c r="M35" s="16">
        <f t="shared" si="1"/>
        <v>2.6999999999999997</v>
      </c>
      <c r="N35" s="16">
        <f t="shared" si="2"/>
        <v>2.4</v>
      </c>
    </row>
    <row r="36" spans="1:14" x14ac:dyDescent="0.25">
      <c r="A36" s="9" t="s">
        <v>272</v>
      </c>
      <c r="B36" s="10" t="s">
        <v>134</v>
      </c>
      <c r="C36" s="11" t="s">
        <v>226</v>
      </c>
      <c r="D36" s="11" t="s">
        <v>120</v>
      </c>
      <c r="E36" s="12">
        <v>35</v>
      </c>
      <c r="F36" s="13">
        <v>20</v>
      </c>
      <c r="G36" s="14">
        <v>84</v>
      </c>
      <c r="H36" s="13">
        <v>50</v>
      </c>
      <c r="I36" s="14">
        <v>73.5</v>
      </c>
      <c r="J36" s="13">
        <v>100</v>
      </c>
      <c r="K36" s="14">
        <v>66.5</v>
      </c>
      <c r="L36" s="16">
        <f t="shared" si="0"/>
        <v>2.4</v>
      </c>
      <c r="M36" s="16">
        <f t="shared" si="1"/>
        <v>2.1</v>
      </c>
      <c r="N36" s="16">
        <f t="shared" si="2"/>
        <v>1.9</v>
      </c>
    </row>
    <row r="37" spans="1:14" x14ac:dyDescent="0.25">
      <c r="A37" s="9" t="s">
        <v>273</v>
      </c>
      <c r="B37" s="10" t="s">
        <v>274</v>
      </c>
      <c r="C37" s="11" t="s">
        <v>226</v>
      </c>
      <c r="D37" s="11" t="s">
        <v>138</v>
      </c>
      <c r="E37" s="12">
        <v>26.9</v>
      </c>
      <c r="F37" s="13">
        <v>20</v>
      </c>
      <c r="G37" s="14">
        <v>64.56</v>
      </c>
      <c r="H37" s="13">
        <v>50</v>
      </c>
      <c r="I37" s="14">
        <v>56.49</v>
      </c>
      <c r="J37" s="13">
        <v>100</v>
      </c>
      <c r="K37" s="14">
        <v>51.11</v>
      </c>
      <c r="L37" s="16">
        <f t="shared" si="0"/>
        <v>2.4000000000000004</v>
      </c>
      <c r="M37" s="16">
        <f t="shared" si="1"/>
        <v>2.1</v>
      </c>
      <c r="N37" s="16">
        <f t="shared" si="2"/>
        <v>1.9000000000000001</v>
      </c>
    </row>
    <row r="38" spans="1:14" x14ac:dyDescent="0.25">
      <c r="A38" s="9" t="s">
        <v>275</v>
      </c>
      <c r="B38" s="10" t="s">
        <v>276</v>
      </c>
      <c r="C38" s="11" t="s">
        <v>226</v>
      </c>
      <c r="D38" s="11" t="s">
        <v>138</v>
      </c>
      <c r="E38" s="12">
        <v>47.9</v>
      </c>
      <c r="F38" s="13">
        <v>20</v>
      </c>
      <c r="G38" s="14">
        <v>105.38</v>
      </c>
      <c r="H38" s="13">
        <v>50</v>
      </c>
      <c r="I38" s="14">
        <v>95.8</v>
      </c>
      <c r="J38" s="13">
        <v>100</v>
      </c>
      <c r="K38" s="14">
        <v>86.22</v>
      </c>
      <c r="L38" s="16">
        <f t="shared" si="0"/>
        <v>2.2000000000000002</v>
      </c>
      <c r="M38" s="16">
        <f t="shared" si="1"/>
        <v>2</v>
      </c>
      <c r="N38" s="16">
        <f t="shared" si="2"/>
        <v>1.8</v>
      </c>
    </row>
    <row r="39" spans="1:14" x14ac:dyDescent="0.25">
      <c r="A39" s="9" t="s">
        <v>277</v>
      </c>
      <c r="B39" s="10" t="s">
        <v>278</v>
      </c>
      <c r="C39" s="11" t="s">
        <v>226</v>
      </c>
      <c r="D39" s="11" t="s">
        <v>138</v>
      </c>
      <c r="E39" s="12">
        <v>31.9</v>
      </c>
      <c r="F39" s="13">
        <v>20</v>
      </c>
      <c r="G39" s="14">
        <v>76.56</v>
      </c>
      <c r="H39" s="13">
        <v>50</v>
      </c>
      <c r="I39" s="14">
        <v>66.989999999999995</v>
      </c>
      <c r="J39" s="13">
        <v>100</v>
      </c>
      <c r="K39" s="14">
        <v>60.61</v>
      </c>
      <c r="L39" s="16">
        <f t="shared" si="0"/>
        <v>2.4000000000000004</v>
      </c>
      <c r="M39" s="16">
        <f t="shared" si="1"/>
        <v>2.1</v>
      </c>
      <c r="N39" s="16">
        <f t="shared" si="2"/>
        <v>1.9000000000000001</v>
      </c>
    </row>
    <row r="40" spans="1:14" x14ac:dyDescent="0.25">
      <c r="A40" s="9" t="s">
        <v>279</v>
      </c>
      <c r="B40" s="10" t="s">
        <v>280</v>
      </c>
      <c r="C40" s="11" t="s">
        <v>226</v>
      </c>
      <c r="D40" s="11" t="s">
        <v>138</v>
      </c>
      <c r="E40" s="12">
        <v>19.989999999999998</v>
      </c>
      <c r="F40" s="13">
        <v>20</v>
      </c>
      <c r="G40" s="14">
        <v>51.97</v>
      </c>
      <c r="H40" s="13">
        <v>50</v>
      </c>
      <c r="I40" s="14">
        <v>45.98</v>
      </c>
      <c r="J40" s="13">
        <v>100</v>
      </c>
      <c r="K40" s="14">
        <v>41.98</v>
      </c>
      <c r="L40" s="16">
        <f t="shared" si="0"/>
        <v>2.599799899949975</v>
      </c>
      <c r="M40" s="16">
        <f t="shared" si="1"/>
        <v>2.3001500750375188</v>
      </c>
      <c r="N40" s="16">
        <f t="shared" si="2"/>
        <v>2.1000500250125063</v>
      </c>
    </row>
    <row r="41" spans="1:14" x14ac:dyDescent="0.25">
      <c r="A41" s="9" t="s">
        <v>281</v>
      </c>
      <c r="B41" s="10" t="s">
        <v>148</v>
      </c>
      <c r="C41" s="11" t="s">
        <v>226</v>
      </c>
      <c r="D41" s="11" t="s">
        <v>138</v>
      </c>
      <c r="E41" s="12">
        <v>61.9</v>
      </c>
      <c r="F41" s="13">
        <v>20</v>
      </c>
      <c r="G41" s="14">
        <v>136.18</v>
      </c>
      <c r="H41" s="13">
        <v>50</v>
      </c>
      <c r="I41" s="14">
        <v>123.8</v>
      </c>
      <c r="J41" s="13">
        <v>100</v>
      </c>
      <c r="K41" s="14">
        <v>111.42</v>
      </c>
      <c r="L41" s="16">
        <f t="shared" si="0"/>
        <v>2.2000000000000002</v>
      </c>
      <c r="M41" s="16">
        <f t="shared" si="1"/>
        <v>2</v>
      </c>
      <c r="N41" s="16">
        <f t="shared" si="2"/>
        <v>1.8</v>
      </c>
    </row>
    <row r="42" spans="1:14" x14ac:dyDescent="0.25">
      <c r="A42" s="9" t="s">
        <v>282</v>
      </c>
      <c r="B42" s="10" t="s">
        <v>283</v>
      </c>
      <c r="C42" s="11" t="s">
        <v>226</v>
      </c>
      <c r="D42" s="11" t="s">
        <v>164</v>
      </c>
      <c r="E42" s="12">
        <v>45</v>
      </c>
      <c r="F42" s="13">
        <v>20</v>
      </c>
      <c r="G42" s="14">
        <v>99</v>
      </c>
      <c r="H42" s="13">
        <v>50</v>
      </c>
      <c r="I42" s="14">
        <v>90</v>
      </c>
      <c r="J42" s="13">
        <v>100</v>
      </c>
      <c r="K42" s="14">
        <v>81</v>
      </c>
      <c r="L42" s="16">
        <f t="shared" si="0"/>
        <v>2.2000000000000002</v>
      </c>
      <c r="M42" s="16">
        <f t="shared" si="1"/>
        <v>2</v>
      </c>
      <c r="N42" s="16">
        <f t="shared" si="2"/>
        <v>1.8</v>
      </c>
    </row>
    <row r="43" spans="1:14" x14ac:dyDescent="0.25">
      <c r="A43" s="9" t="s">
        <v>284</v>
      </c>
      <c r="B43" s="10" t="s">
        <v>285</v>
      </c>
      <c r="C43" s="11" t="s">
        <v>226</v>
      </c>
      <c r="D43" s="11" t="s">
        <v>164</v>
      </c>
      <c r="E43" s="12">
        <v>47.5</v>
      </c>
      <c r="F43" s="13">
        <v>20</v>
      </c>
      <c r="G43" s="14">
        <v>104.5</v>
      </c>
      <c r="H43" s="13">
        <v>50</v>
      </c>
      <c r="I43" s="14">
        <v>95</v>
      </c>
      <c r="J43" s="13">
        <v>100</v>
      </c>
      <c r="K43" s="14">
        <v>85.5</v>
      </c>
      <c r="L43" s="16">
        <f t="shared" si="0"/>
        <v>2.2000000000000002</v>
      </c>
      <c r="M43" s="16">
        <f t="shared" si="1"/>
        <v>2</v>
      </c>
      <c r="N43" s="16">
        <f t="shared" si="2"/>
        <v>1.8</v>
      </c>
    </row>
    <row r="44" spans="1:14" x14ac:dyDescent="0.25">
      <c r="A44" s="9" t="s">
        <v>286</v>
      </c>
      <c r="B44" s="10" t="s">
        <v>287</v>
      </c>
      <c r="C44" s="11" t="s">
        <v>226</v>
      </c>
      <c r="D44" s="11" t="s">
        <v>164</v>
      </c>
      <c r="E44" s="12">
        <v>20.9</v>
      </c>
      <c r="F44" s="13">
        <v>20</v>
      </c>
      <c r="G44" s="14">
        <v>50.16</v>
      </c>
      <c r="H44" s="13">
        <v>50</v>
      </c>
      <c r="I44" s="14">
        <v>43.89</v>
      </c>
      <c r="J44" s="13">
        <v>100</v>
      </c>
      <c r="K44" s="14">
        <v>39.71</v>
      </c>
      <c r="L44" s="16">
        <f t="shared" si="0"/>
        <v>2.4</v>
      </c>
      <c r="M44" s="16">
        <f t="shared" si="1"/>
        <v>2.1</v>
      </c>
      <c r="N44" s="16">
        <f t="shared" si="2"/>
        <v>1.9000000000000001</v>
      </c>
    </row>
    <row r="45" spans="1:14" x14ac:dyDescent="0.25">
      <c r="A45" s="9" t="s">
        <v>288</v>
      </c>
      <c r="B45" s="10" t="s">
        <v>289</v>
      </c>
      <c r="C45" s="11" t="s">
        <v>226</v>
      </c>
      <c r="D45" s="11" t="s">
        <v>164</v>
      </c>
      <c r="E45" s="12">
        <v>35</v>
      </c>
      <c r="F45" s="13">
        <v>20</v>
      </c>
      <c r="G45" s="14">
        <v>84</v>
      </c>
      <c r="H45" s="13">
        <v>50</v>
      </c>
      <c r="I45" s="14">
        <v>73.5</v>
      </c>
      <c r="J45" s="13">
        <v>100</v>
      </c>
      <c r="K45" s="14">
        <v>66.5</v>
      </c>
      <c r="L45" s="16">
        <f t="shared" si="0"/>
        <v>2.4</v>
      </c>
      <c r="M45" s="16">
        <f t="shared" si="1"/>
        <v>2.1</v>
      </c>
      <c r="N45" s="16">
        <f t="shared" si="2"/>
        <v>1.9</v>
      </c>
    </row>
    <row r="46" spans="1:14" x14ac:dyDescent="0.25">
      <c r="A46" s="9" t="s">
        <v>290</v>
      </c>
      <c r="B46" s="10" t="s">
        <v>291</v>
      </c>
      <c r="C46" s="11" t="s">
        <v>226</v>
      </c>
      <c r="D46" s="11" t="s">
        <v>181</v>
      </c>
      <c r="E46" s="12">
        <v>14.9</v>
      </c>
      <c r="F46" s="13">
        <v>20</v>
      </c>
      <c r="G46" s="14">
        <v>38.74</v>
      </c>
      <c r="H46" s="13">
        <v>50</v>
      </c>
      <c r="I46" s="14">
        <v>34.270000000000003</v>
      </c>
      <c r="J46" s="13">
        <v>100</v>
      </c>
      <c r="K46" s="14">
        <v>31.29</v>
      </c>
      <c r="L46" s="16">
        <f t="shared" si="0"/>
        <v>2.6</v>
      </c>
      <c r="M46" s="16">
        <f t="shared" si="1"/>
        <v>2.3000000000000003</v>
      </c>
      <c r="N46" s="16">
        <f t="shared" si="2"/>
        <v>2.1</v>
      </c>
    </row>
    <row r="47" spans="1:14" x14ac:dyDescent="0.25">
      <c r="A47" s="9" t="s">
        <v>292</v>
      </c>
      <c r="B47" s="10" t="s">
        <v>293</v>
      </c>
      <c r="C47" s="11" t="s">
        <v>226</v>
      </c>
      <c r="D47" s="11" t="s">
        <v>181</v>
      </c>
      <c r="E47" s="12">
        <v>11.9</v>
      </c>
      <c r="F47" s="13">
        <v>20</v>
      </c>
      <c r="G47" s="14">
        <v>30.94</v>
      </c>
      <c r="H47" s="13">
        <v>50</v>
      </c>
      <c r="I47" s="14">
        <v>27.37</v>
      </c>
      <c r="J47" s="13">
        <v>100</v>
      </c>
      <c r="K47" s="14">
        <v>24.99</v>
      </c>
      <c r="L47" s="16">
        <f t="shared" si="0"/>
        <v>2.6</v>
      </c>
      <c r="M47" s="16">
        <f t="shared" si="1"/>
        <v>2.2999999999999998</v>
      </c>
      <c r="N47" s="16">
        <f t="shared" si="2"/>
        <v>2.0999999999999996</v>
      </c>
    </row>
    <row r="48" spans="1:14" x14ac:dyDescent="0.25">
      <c r="A48" s="9" t="s">
        <v>294</v>
      </c>
      <c r="B48" s="10" t="s">
        <v>295</v>
      </c>
      <c r="C48" s="11" t="s">
        <v>226</v>
      </c>
      <c r="D48" s="11" t="s">
        <v>181</v>
      </c>
      <c r="E48" s="12">
        <v>9</v>
      </c>
      <c r="F48" s="13">
        <v>20</v>
      </c>
      <c r="G48" s="14">
        <v>27</v>
      </c>
      <c r="H48" s="13">
        <v>50</v>
      </c>
      <c r="I48" s="14">
        <v>24.3</v>
      </c>
      <c r="J48" s="13">
        <v>100</v>
      </c>
      <c r="K48" s="14">
        <v>21.6</v>
      </c>
      <c r="L48" s="16">
        <f t="shared" si="0"/>
        <v>3</v>
      </c>
      <c r="M48" s="16">
        <f t="shared" si="1"/>
        <v>2.7</v>
      </c>
      <c r="N48" s="16">
        <f t="shared" si="2"/>
        <v>2.4000000000000004</v>
      </c>
    </row>
    <row r="49" spans="1:14" x14ac:dyDescent="0.25">
      <c r="A49" s="9" t="s">
        <v>296</v>
      </c>
      <c r="B49" s="10" t="s">
        <v>295</v>
      </c>
      <c r="C49" s="11" t="s">
        <v>226</v>
      </c>
      <c r="D49" s="11" t="s">
        <v>181</v>
      </c>
      <c r="E49" s="12">
        <v>9.9</v>
      </c>
      <c r="F49" s="13">
        <v>20</v>
      </c>
      <c r="G49" s="14">
        <v>29.7</v>
      </c>
      <c r="H49" s="13">
        <v>50</v>
      </c>
      <c r="I49" s="14">
        <v>26.73</v>
      </c>
      <c r="J49" s="13">
        <v>100</v>
      </c>
      <c r="K49" s="14">
        <v>23.76</v>
      </c>
      <c r="L49" s="16">
        <f t="shared" si="0"/>
        <v>3</v>
      </c>
      <c r="M49" s="16">
        <f t="shared" si="1"/>
        <v>2.6999999999999997</v>
      </c>
      <c r="N49" s="16">
        <f t="shared" si="2"/>
        <v>2.4</v>
      </c>
    </row>
    <row r="50" spans="1:14" x14ac:dyDescent="0.25">
      <c r="A50" s="9" t="s">
        <v>297</v>
      </c>
      <c r="B50" s="10" t="s">
        <v>298</v>
      </c>
      <c r="C50" s="11" t="s">
        <v>226</v>
      </c>
      <c r="D50" s="11" t="s">
        <v>181</v>
      </c>
      <c r="E50" s="12">
        <v>13.9</v>
      </c>
      <c r="F50" s="13">
        <v>20</v>
      </c>
      <c r="G50" s="14">
        <v>36.14</v>
      </c>
      <c r="H50" s="13">
        <v>50</v>
      </c>
      <c r="I50" s="14">
        <v>31.97</v>
      </c>
      <c r="J50" s="13">
        <v>100</v>
      </c>
      <c r="K50" s="14">
        <v>29.19</v>
      </c>
      <c r="L50" s="16">
        <f t="shared" si="0"/>
        <v>2.6</v>
      </c>
      <c r="M50" s="16">
        <f t="shared" si="1"/>
        <v>2.2999999999999998</v>
      </c>
      <c r="N50" s="16">
        <f t="shared" si="2"/>
        <v>2.1</v>
      </c>
    </row>
    <row r="51" spans="1:14" x14ac:dyDescent="0.25">
      <c r="A51" s="9" t="s">
        <v>299</v>
      </c>
      <c r="B51" s="10" t="s">
        <v>187</v>
      </c>
      <c r="C51" s="11" t="s">
        <v>226</v>
      </c>
      <c r="D51" s="11" t="s">
        <v>188</v>
      </c>
      <c r="E51" s="12">
        <v>20.5</v>
      </c>
      <c r="F51" s="13">
        <v>20</v>
      </c>
      <c r="G51" s="14">
        <v>49.2</v>
      </c>
      <c r="H51" s="13">
        <v>50</v>
      </c>
      <c r="I51" s="14">
        <v>43.05</v>
      </c>
      <c r="J51" s="13">
        <v>100</v>
      </c>
      <c r="K51" s="14">
        <v>38.950000000000003</v>
      </c>
      <c r="L51" s="16">
        <f t="shared" si="0"/>
        <v>2.4000000000000004</v>
      </c>
      <c r="M51" s="16">
        <f t="shared" si="1"/>
        <v>2.0999999999999996</v>
      </c>
      <c r="N51" s="16">
        <f t="shared" si="2"/>
        <v>1.9000000000000001</v>
      </c>
    </row>
    <row r="53" spans="1:14" x14ac:dyDescent="0.25">
      <c r="A53" s="2" t="s">
        <v>300</v>
      </c>
    </row>
  </sheetData>
  <autoFilter ref="A10:N51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Catálogo</vt:lpstr>
      <vt:lpstr>Ocultos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2026-09-03T22:10:04Z</dcterms:created>
  <dcterms:modified xsi:type="dcterms:W3CDTF">2026-09-05T15:11:55Z</dcterms:modified>
  <dc:language>en-US</dc:language>
</cp:coreProperties>
</file>