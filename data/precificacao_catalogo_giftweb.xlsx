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Ocultos" sheetId="2" state="visible" r:id="rId2"/>
  </sheets>
  <definedNames>
    <definedName name="_xlnm._FilterDatabase" localSheetId="0" hidden="1">'Catálogo'!$A$10:$N$107</definedName>
    <definedName name="_xlnm._FilterDatabase" localSheetId="1" hidden="1">'Ocultos'!$A$10:$N$51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color rgb="0007253F"/>
      <sz val="13"/>
    </font>
    <font>
      <name val="Arial"/>
      <color rgb="00595959"/>
      <sz val="9"/>
    </font>
    <font>
      <name val="Arial"/>
      <b val="1"/>
      <color rgb="0007253F"/>
      <sz val="9"/>
    </font>
    <font>
      <name val="Arial"/>
      <b val="1"/>
      <color rgb="00FFFFFF"/>
      <sz val="10"/>
    </font>
    <font>
      <name val="Arial"/>
      <i val="1"/>
      <color rgb="001B5E20"/>
      <sz val="10"/>
    </font>
    <font>
      <name val="Arial"/>
      <sz val="10"/>
    </font>
    <font>
      <name val="Arial"/>
      <color rgb="00808080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07253F"/>
      </patternFill>
    </fill>
    <fill>
      <patternFill patternType="solid">
        <fgColor rgb="00E8F5E9"/>
      </patternFill>
    </fill>
    <fill>
      <patternFill patternType="solid">
        <fgColor rgb="00FFF9E6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6" fillId="0" borderId="1" applyAlignment="1" pivotButton="0" quotePrefix="0" xfId="0">
      <alignment horizontal="left"/>
    </xf>
    <xf numFmtId="0" fontId="6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165" fontId="6" fillId="5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Gift Web</author>
  </authors>
  <commentList>
    <comment ref="L12" authorId="0" shapeId="0">
      <text>
        <t>Fora do padrão custo x 2,5 (está em 1.15x).
Custo atual no fornecedor: R$ 26.00.
Ou o custo mudou desde que o catálogo foi montado, ou o preço foi editado à mão.</t>
      </text>
    </comment>
    <comment ref="L13" authorId="0" shapeId="0">
      <text>
        <t>Fora do padrão custo x 2,5 (está em 1.89x).
Custo atual no fornecedor: R$ 36.90.
Ou o custo mudou desde que o catálogo foi montado, ou o preço foi editado à mão.</t>
      </text>
    </comment>
    <comment ref="L15" authorId="0" shapeId="0">
      <text>
        <t>Fora do padrão custo x 2,5 (está em 1.39x).
Custo atual no fornecedor: R$ 17.90.
Ou o custo mudou desde que o catálogo foi montado, ou o preço foi editado à mão.</t>
      </text>
    </comment>
    <comment ref="L17" authorId="0" shapeId="0">
      <text>
        <t>Fora do padrão custo x 2,5 (está em 1.77x).
Custo atual no fornecedor: R$ 16.90.
Ou o custo mudou desde que o catálogo foi montado, ou o preço foi editado à mão.</t>
      </text>
    </comment>
    <comment ref="L19" authorId="0" shapeId="0">
      <text>
        <t>Fora do padrão custo x 2,5 (está em 2.52x).
Custo atual no fornecedor: R$ 10.80.
Ou o custo mudou desde que o catálogo foi montado, ou o preço foi editado à mão.</t>
      </text>
    </comment>
    <comment ref="L28" authorId="0" shapeId="0">
      <text>
        <t>Fora do padrão custo x 2,5 (está em 2.77x).
Custo atual no fornecedor: R$ 27.00.
Ou o custo mudou desde que o catálogo foi montado, ou o preço foi editado à mão.</t>
      </text>
    </comment>
    <comment ref="L51" authorId="0" shapeId="0">
      <text>
        <t>Fora do padrão custo x 2,5 (está em 2.55x).
Custo atual no fornecedor: R$ 11.00.
Ou o custo mudou desde que o catálogo foi montado, ou o preço foi editado à mão.</t>
      </text>
    </comment>
    <comment ref="L80" authorId="0" shapeId="0">
      <text>
        <t>Fora do padrão custo x 2,5 (está em 2.58x).
Custo atual no fornecedor: R$ 16.40.
Ou o custo mudou desde que o catálogo foi montado, ou o preço foi editado à mão.</t>
      </text>
    </comment>
    <comment ref="L83" authorId="0" shapeId="0">
      <text>
        <t>Fora do padrão custo x 2,5 (está em 2.60x).
Custo atual no fornecedor: R$ 3.75.
Ou o custo mudou desde que o catálogo foi montado, ou o preço foi editado à mão.</t>
      </text>
    </comment>
  </commentList>
</comments>
</file>

<file path=xl/comments/comment2.xml><?xml version="1.0" encoding="utf-8"?>
<comments xmlns="http://schemas.openxmlformats.org/spreadsheetml/2006/main">
  <authors>
    <author>Gift Web</author>
  </authors>
  <commentList>
    <comment ref="L12" authorId="0" shapeId="0">
      <text>
        <t>Fora do padrão custo x 2,5 (está em 1.92x).
Custo atual no fornecedor: R$ 36.50.
Ou o custo mudou desde que o catálogo foi montado, ou o preço foi editado à mão.</t>
      </text>
    </comment>
    <comment ref="L14" authorId="0" shapeId="0">
      <text>
        <t>Fora do padrão custo x 2,5 (está em 2.41x).
Custo atual no fornecedor: R$ 3.10.
Ou o custo mudou desde que o catálogo foi montado, ou o preço foi editado à mão.</t>
      </text>
    </comment>
    <comment ref="L16" authorId="0" shapeId="0">
      <text>
        <t>Fora do padrão custo x 2,5 (está em 2.62x).
Custo atual no fornecedor: R$ 9.45.
Ou o custo mudou desde que o catálogo foi montado, ou o preço foi editado à mão.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26" customWidth="1" min="4" max="4"/>
    <col width="11" customWidth="1" min="5" max="5"/>
    <col width="10" customWidth="1" min="6" max="6"/>
    <col width="15" customWidth="1" min="7" max="7"/>
    <col width="10" customWidth="1" min="8" max="8"/>
    <col width="15" customWidth="1" min="9" max="9"/>
    <col width="10" customWidth="1" min="10" max="10"/>
    <col width="15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Precificação — Catálogo Gift Web</t>
        </is>
      </c>
    </row>
    <row r="2">
      <c r="A2" s="2" t="inlineStr">
        <is>
          <t>96 produtos que o cliente vê hoje em giftwebbrindes.com.br/catalogo-clientes</t>
        </is>
      </c>
    </row>
    <row r="4">
      <c r="A4" s="3" t="inlineStr">
        <is>
          <t>Como preencher</t>
        </is>
      </c>
    </row>
    <row r="5">
      <c r="A5" s="4" t="inlineStr">
        <is>
          <t>• Edite apenas as colunas de fundo amarelo: Qtd faixa 1/2/3 e Venda faixa 1/2/3. O texto em azul é o valor que está no ar hoje - altere só o que quiser mudar.</t>
        </is>
      </c>
    </row>
    <row r="6">
      <c r="A6" s="4" t="inlineStr">
        <is>
          <t>• As faixas são a escada de quantidade do card: faixa 1 é o menor volume e faixa 3 é o melhor preço. Quase todo produto usa 20 / 50 / 100; caneta, sacola e o chaveiro 09824 usam 100 / 200 / 1000, porque o mínimo do fornecedor é 100.</t>
        </is>
      </c>
    </row>
    <row r="7">
      <c r="A7" s="4" t="inlineStr">
        <is>
          <t>• As colunas x1, x2 e x3 são calculadas (venda ÷ custo) e atualizam sozinhas conforme você digita. Servem para conferir a margem - não precisa preencher.</t>
        </is>
      </c>
    </row>
    <row r="8">
      <c r="A8" s="4" t="inlineStr">
        <is>
          <t>• Código, Descrição, Situação, Seção e Custo são só referência. Não altere o Código: é por ele que os preços voltam para o sistema.</t>
        </is>
      </c>
    </row>
    <row r="10" ht="30" customHeight="1">
      <c r="A10" s="5" t="inlineStr">
        <is>
          <t>Código</t>
        </is>
      </c>
      <c r="B10" s="5" t="inlineStr">
        <is>
          <t>Descrição</t>
        </is>
      </c>
      <c r="C10" s="5" t="inlineStr">
        <is>
          <t>Situação</t>
        </is>
      </c>
      <c r="D10" s="5" t="inlineStr">
        <is>
          <t>Seção do catálogo</t>
        </is>
      </c>
      <c r="E10" s="5" t="inlineStr">
        <is>
          <t>Custo (R$)</t>
        </is>
      </c>
      <c r="F10" s="5" t="inlineStr">
        <is>
          <t>Qtd faixa 1</t>
        </is>
      </c>
      <c r="G10" s="5" t="inlineStr">
        <is>
          <t>Venda faixa 1 (R$)</t>
        </is>
      </c>
      <c r="H10" s="5" t="inlineStr">
        <is>
          <t>Qtd faixa 2</t>
        </is>
      </c>
      <c r="I10" s="5" t="inlineStr">
        <is>
          <t>Venda faixa 2 (R$)</t>
        </is>
      </c>
      <c r="J10" s="5" t="inlineStr">
        <is>
          <t>Qtd faixa 3</t>
        </is>
      </c>
      <c r="K10" s="5" t="inlineStr">
        <is>
          <t>Venda faixa 3 (R$)</t>
        </is>
      </c>
      <c r="L10" s="5" t="inlineStr">
        <is>
          <t>x1</t>
        </is>
      </c>
      <c r="M10" s="5" t="inlineStr">
        <is>
          <t>x2</t>
        </is>
      </c>
      <c r="N10" s="5" t="inlineStr">
        <is>
          <t>x3</t>
        </is>
      </c>
    </row>
    <row r="11">
      <c r="A11" s="6" t="inlineStr">
        <is>
          <t>EXEMPLO</t>
        </is>
      </c>
      <c r="B11" s="6" t="inlineStr">
        <is>
          <t>Assim que a linha deve ficar preenchida</t>
        </is>
      </c>
      <c r="C11" s="6" t="inlineStr">
        <is>
          <t>—</t>
        </is>
      </c>
      <c r="D11" s="6" t="inlineStr">
        <is>
          <t>—</t>
        </is>
      </c>
      <c r="E11" s="7" t="n">
        <v>10</v>
      </c>
      <c r="F11" s="6" t="n">
        <v>20</v>
      </c>
      <c r="G11" s="7" t="n">
        <v>25</v>
      </c>
      <c r="H11" s="6" t="n">
        <v>50</v>
      </c>
      <c r="I11" s="7" t="n">
        <v>22</v>
      </c>
      <c r="J11" s="6" t="n">
        <v>100</v>
      </c>
      <c r="K11" s="7" t="n">
        <v>20</v>
      </c>
      <c r="L11" s="8">
        <f>IFERROR(G11/$E11,"")</f>
        <v/>
      </c>
      <c r="M11" s="8">
        <f>IFERROR(I11/$E11,"")</f>
        <v/>
      </c>
      <c r="N11" s="8">
        <f>IFERROR(K11/$E11,"")</f>
        <v/>
      </c>
    </row>
    <row r="12">
      <c r="A12" s="9" t="inlineStr">
        <is>
          <t>14794</t>
        </is>
      </c>
      <c r="B12" s="10" t="inlineStr">
        <is>
          <t>Garrafa Led Termometro 500 Ml</t>
        </is>
      </c>
      <c r="C12" s="11" t="inlineStr">
        <is>
          <t>No catálogo</t>
        </is>
      </c>
      <c r="D12" s="11" t="inlineStr">
        <is>
          <t>Copos, Garrafas e Canecas</t>
        </is>
      </c>
      <c r="E12" s="12" t="n">
        <v>26</v>
      </c>
      <c r="F12" s="13" t="n">
        <v>20</v>
      </c>
      <c r="G12" s="14" t="n">
        <v>29.9</v>
      </c>
      <c r="H12" s="13" t="n">
        <v>50</v>
      </c>
      <c r="I12" s="14" t="n">
        <v>27.9</v>
      </c>
      <c r="J12" s="13" t="n">
        <v>100</v>
      </c>
      <c r="K12" s="14" t="n">
        <v>24.9</v>
      </c>
      <c r="L12" s="15">
        <f>IFERROR(G12/$E12,"")</f>
        <v/>
      </c>
      <c r="M12" s="16">
        <f>IFERROR(I12/$E12,"")</f>
        <v/>
      </c>
      <c r="N12" s="16">
        <f>IFERROR(K12/$E12,"")</f>
        <v/>
      </c>
    </row>
    <row r="13">
      <c r="A13" s="9" t="inlineStr">
        <is>
          <t>06033</t>
        </is>
      </c>
      <c r="B13" s="10" t="inlineStr">
        <is>
          <t>Garrafa Quencher 1,2L Canudo Inox</t>
        </is>
      </c>
      <c r="C13" s="11" t="inlineStr">
        <is>
          <t>No catálogo</t>
        </is>
      </c>
      <c r="D13" s="11" t="inlineStr">
        <is>
          <t>Copos, Garrafas e Canecas</t>
        </is>
      </c>
      <c r="E13" s="12" t="n">
        <v>36.9</v>
      </c>
      <c r="F13" s="13" t="n">
        <v>20</v>
      </c>
      <c r="G13" s="14" t="n">
        <v>69.90000000000001</v>
      </c>
      <c r="H13" s="13" t="n">
        <v>50</v>
      </c>
      <c r="I13" s="14" t="n">
        <v>64.90000000000001</v>
      </c>
      <c r="J13" s="13" t="n">
        <v>100</v>
      </c>
      <c r="K13" s="14" t="n">
        <v>59.9</v>
      </c>
      <c r="L13" s="15">
        <f>IFERROR(G13/$E13,"")</f>
        <v/>
      </c>
      <c r="M13" s="16">
        <f>IFERROR(I13/$E13,"")</f>
        <v/>
      </c>
      <c r="N13" s="16">
        <f>IFERROR(K13/$E13,"")</f>
        <v/>
      </c>
    </row>
    <row r="14">
      <c r="A14" s="9" t="inlineStr">
        <is>
          <t>18921</t>
        </is>
      </c>
      <c r="B14" s="10" t="inlineStr">
        <is>
          <t>Squeeze Alumínio 600Ml</t>
        </is>
      </c>
      <c r="C14" s="11" t="inlineStr">
        <is>
          <t>No catálogo</t>
        </is>
      </c>
      <c r="D14" s="11" t="inlineStr">
        <is>
          <t>Copos, Garrafas e Canecas</t>
        </is>
      </c>
      <c r="E14" s="12" t="n">
        <v>12.2</v>
      </c>
      <c r="F14" s="13" t="n">
        <v>20</v>
      </c>
      <c r="G14" s="14" t="n">
        <v>30.5</v>
      </c>
      <c r="H14" s="13" t="n">
        <v>50</v>
      </c>
      <c r="I14" s="14" t="n">
        <v>26.84</v>
      </c>
      <c r="J14" s="13" t="n">
        <v>100</v>
      </c>
      <c r="K14" s="14" t="n">
        <v>24.4</v>
      </c>
      <c r="L14" s="16">
        <f>IFERROR(G14/$E14,"")</f>
        <v/>
      </c>
      <c r="M14" s="16">
        <f>IFERROR(I14/$E14,"")</f>
        <v/>
      </c>
      <c r="N14" s="16">
        <f>IFERROR(K14/$E14,"")</f>
        <v/>
      </c>
    </row>
    <row r="15">
      <c r="A15" s="9" t="inlineStr">
        <is>
          <t>18645L</t>
        </is>
      </c>
      <c r="B15" s="10" t="inlineStr">
        <is>
          <t>Copo Térmico 473mL C/ Abridor</t>
        </is>
      </c>
      <c r="C15" s="11" t="inlineStr">
        <is>
          <t>No catálogo</t>
        </is>
      </c>
      <c r="D15" s="11" t="inlineStr">
        <is>
          <t>Copos, Garrafas e Canecas</t>
        </is>
      </c>
      <c r="E15" s="12" t="n">
        <v>17.9</v>
      </c>
      <c r="F15" s="13" t="n">
        <v>20</v>
      </c>
      <c r="G15" s="14" t="n">
        <v>24.9</v>
      </c>
      <c r="H15" s="13" t="n">
        <v>50</v>
      </c>
      <c r="I15" s="14" t="n">
        <v>21.91</v>
      </c>
      <c r="J15" s="13" t="n">
        <v>100</v>
      </c>
      <c r="K15" s="14" t="n">
        <v>19.92</v>
      </c>
      <c r="L15" s="15">
        <f>IFERROR(G15/$E15,"")</f>
        <v/>
      </c>
      <c r="M15" s="16">
        <f>IFERROR(I15/$E15,"")</f>
        <v/>
      </c>
      <c r="N15" s="16">
        <f>IFERROR(K15/$E15,"")</f>
        <v/>
      </c>
    </row>
    <row r="16">
      <c r="A16" s="9" t="inlineStr">
        <is>
          <t>03006A</t>
        </is>
      </c>
      <c r="B16" s="10" t="inlineStr">
        <is>
          <t>Copo Fibra De Bambu 350Ml</t>
        </is>
      </c>
      <c r="C16" s="11" t="inlineStr">
        <is>
          <t>No catálogo</t>
        </is>
      </c>
      <c r="D16" s="11" t="inlineStr">
        <is>
          <t>Copos, Garrafas e Canecas</t>
        </is>
      </c>
      <c r="E16" s="12" t="n">
        <v>6.2</v>
      </c>
      <c r="F16" s="13" t="n">
        <v>20</v>
      </c>
      <c r="G16" s="14" t="n">
        <v>15.5</v>
      </c>
      <c r="H16" s="13" t="n">
        <v>50</v>
      </c>
      <c r="I16" s="14" t="n">
        <v>13.64</v>
      </c>
      <c r="J16" s="13" t="n">
        <v>100</v>
      </c>
      <c r="K16" s="14" t="n">
        <v>12.4</v>
      </c>
      <c r="L16" s="16">
        <f>IFERROR(G16/$E16,"")</f>
        <v/>
      </c>
      <c r="M16" s="16">
        <f>IFERROR(I16/$E16,"")</f>
        <v/>
      </c>
      <c r="N16" s="16">
        <f>IFERROR(K16/$E16,"")</f>
        <v/>
      </c>
    </row>
    <row r="17">
      <c r="A17" s="9" t="inlineStr">
        <is>
          <t>14726L</t>
        </is>
      </c>
      <c r="B17" s="10" t="inlineStr">
        <is>
          <t>Copo Térmico Cuia Premium 350 mL</t>
        </is>
      </c>
      <c r="C17" s="11" t="inlineStr">
        <is>
          <t>No catálogo</t>
        </is>
      </c>
      <c r="D17" s="11" t="inlineStr">
        <is>
          <t>Copos, Garrafas e Canecas</t>
        </is>
      </c>
      <c r="E17" s="12" t="n">
        <v>16.9</v>
      </c>
      <c r="F17" s="13" t="n">
        <v>20</v>
      </c>
      <c r="G17" s="14" t="n">
        <v>29.9</v>
      </c>
      <c r="H17" s="13" t="n">
        <v>50</v>
      </c>
      <c r="I17" s="14" t="n">
        <v>27.9</v>
      </c>
      <c r="J17" s="13" t="n">
        <v>100</v>
      </c>
      <c r="K17" s="14" t="n">
        <v>24.9</v>
      </c>
      <c r="L17" s="15">
        <f>IFERROR(G17/$E17,"")</f>
        <v/>
      </c>
      <c r="M17" s="16">
        <f>IFERROR(I17/$E17,"")</f>
        <v/>
      </c>
      <c r="N17" s="16">
        <f>IFERROR(K17/$E17,"")</f>
        <v/>
      </c>
    </row>
    <row r="18">
      <c r="A18" s="9" t="inlineStr">
        <is>
          <t>06096</t>
        </is>
      </c>
      <c r="B18" s="10" t="inlineStr">
        <is>
          <t>Copo Vidro Parede Dupla 160Ml</t>
        </is>
      </c>
      <c r="C18" s="11" t="inlineStr">
        <is>
          <t>No catálogo</t>
        </is>
      </c>
      <c r="D18" s="11" t="inlineStr">
        <is>
          <t>Copos, Garrafas e Canecas</t>
        </is>
      </c>
      <c r="E18" s="12" t="n">
        <v>7.5</v>
      </c>
      <c r="F18" s="13" t="n">
        <v>20</v>
      </c>
      <c r="G18" s="14" t="n">
        <v>18.75</v>
      </c>
      <c r="H18" s="13" t="n">
        <v>50</v>
      </c>
      <c r="I18" s="14" t="n">
        <v>16.5</v>
      </c>
      <c r="J18" s="13" t="n">
        <v>100</v>
      </c>
      <c r="K18" s="14" t="n">
        <v>15</v>
      </c>
      <c r="L18" s="16">
        <f>IFERROR(G18/$E18,"")</f>
        <v/>
      </c>
      <c r="M18" s="16">
        <f>IFERROR(I18/$E18,"")</f>
        <v/>
      </c>
      <c r="N18" s="16">
        <f>IFERROR(K18/$E18,"")</f>
        <v/>
      </c>
    </row>
    <row r="19">
      <c r="A19" s="9" t="inlineStr">
        <is>
          <t>12487F</t>
        </is>
      </c>
      <c r="B19" s="10" t="inlineStr">
        <is>
          <t>Squeeze Aluminio Fosco 650Ml</t>
        </is>
      </c>
      <c r="C19" s="11" t="inlineStr">
        <is>
          <t>No catálogo</t>
        </is>
      </c>
      <c r="D19" s="11" t="inlineStr">
        <is>
          <t>Copos, Garrafas e Canecas</t>
        </is>
      </c>
      <c r="E19" s="12" t="n">
        <v>10.8</v>
      </c>
      <c r="F19" s="13" t="n">
        <v>20</v>
      </c>
      <c r="G19" s="14" t="n">
        <v>27.25</v>
      </c>
      <c r="H19" s="13" t="n">
        <v>50</v>
      </c>
      <c r="I19" s="14" t="n">
        <v>23.98</v>
      </c>
      <c r="J19" s="13" t="n">
        <v>100</v>
      </c>
      <c r="K19" s="14" t="n">
        <v>21.8</v>
      </c>
      <c r="L19" s="15">
        <f>IFERROR(G19/$E19,"")</f>
        <v/>
      </c>
      <c r="M19" s="16">
        <f>IFERROR(I19/$E19,"")</f>
        <v/>
      </c>
      <c r="N19" s="16">
        <f>IFERROR(K19/$E19,"")</f>
        <v/>
      </c>
    </row>
    <row r="20">
      <c r="A20" s="9" t="inlineStr">
        <is>
          <t>02112</t>
        </is>
      </c>
      <c r="B20" s="10" t="inlineStr">
        <is>
          <t>Garrafa Térmica 400Ml</t>
        </is>
      </c>
      <c r="C20" s="11" t="inlineStr">
        <is>
          <t>No catálogo</t>
        </is>
      </c>
      <c r="D20" s="11" t="inlineStr">
        <is>
          <t>Copos, Garrafas e Canecas</t>
        </is>
      </c>
      <c r="E20" s="12" t="n">
        <v>18.5</v>
      </c>
      <c r="F20" s="13" t="n">
        <v>20</v>
      </c>
      <c r="G20" s="14" t="n">
        <v>46.25</v>
      </c>
      <c r="H20" s="13" t="n">
        <v>50</v>
      </c>
      <c r="I20" s="14" t="n">
        <v>40.7</v>
      </c>
      <c r="J20" s="13" t="n">
        <v>100</v>
      </c>
      <c r="K20" s="14" t="n">
        <v>37</v>
      </c>
      <c r="L20" s="16">
        <f>IFERROR(G20/$E20,"")</f>
        <v/>
      </c>
      <c r="M20" s="16">
        <f>IFERROR(I20/$E20,"")</f>
        <v/>
      </c>
      <c r="N20" s="16">
        <f>IFERROR(K20/$E20,"")</f>
        <v/>
      </c>
    </row>
    <row r="21">
      <c r="A21" s="9" t="inlineStr">
        <is>
          <t>18695</t>
        </is>
      </c>
      <c r="B21" s="10" t="inlineStr">
        <is>
          <t>Garrafa Plástica 600Ml</t>
        </is>
      </c>
      <c r="C21" s="11" t="inlineStr">
        <is>
          <t>No catálogo</t>
        </is>
      </c>
      <c r="D21" s="11" t="inlineStr">
        <is>
          <t>Copos, Garrafas e Canecas</t>
        </is>
      </c>
      <c r="E21" s="12" t="n">
        <v>6.9</v>
      </c>
      <c r="F21" s="13" t="n">
        <v>20</v>
      </c>
      <c r="G21" s="14" t="n">
        <v>17.25</v>
      </c>
      <c r="H21" s="13" t="n">
        <v>50</v>
      </c>
      <c r="I21" s="14" t="n">
        <v>15.18</v>
      </c>
      <c r="J21" s="13" t="n">
        <v>100</v>
      </c>
      <c r="K21" s="14" t="n">
        <v>13.8</v>
      </c>
      <c r="L21" s="16">
        <f>IFERROR(G21/$E21,"")</f>
        <v/>
      </c>
      <c r="M21" s="16">
        <f>IFERROR(I21/$E21,"")</f>
        <v/>
      </c>
      <c r="N21" s="16">
        <f>IFERROR(K21/$E21,"")</f>
        <v/>
      </c>
    </row>
    <row r="22">
      <c r="A22" s="9" t="inlineStr">
        <is>
          <t>09138</t>
        </is>
      </c>
      <c r="B22" s="10" t="inlineStr">
        <is>
          <t>Squeeze Alumínio 420Ml C/ Mosquetão</t>
        </is>
      </c>
      <c r="C22" s="11" t="inlineStr">
        <is>
          <t>No catálogo</t>
        </is>
      </c>
      <c r="D22" s="11" t="inlineStr">
        <is>
          <t>Copos, Garrafas e Canecas</t>
        </is>
      </c>
      <c r="E22" s="12" t="n">
        <v>7.9</v>
      </c>
      <c r="F22" s="13" t="n">
        <v>20</v>
      </c>
      <c r="G22" s="14" t="n">
        <v>19.75</v>
      </c>
      <c r="H22" s="13" t="n">
        <v>50</v>
      </c>
      <c r="I22" s="14" t="n">
        <v>17.38</v>
      </c>
      <c r="J22" s="13" t="n">
        <v>100</v>
      </c>
      <c r="K22" s="14" t="n">
        <v>15.8</v>
      </c>
      <c r="L22" s="16">
        <f>IFERROR(G22/$E22,"")</f>
        <v/>
      </c>
      <c r="M22" s="16">
        <f>IFERROR(I22/$E22,"")</f>
        <v/>
      </c>
      <c r="N22" s="16">
        <f>IFERROR(K22/$E22,"")</f>
        <v/>
      </c>
    </row>
    <row r="23">
      <c r="A23" s="9" t="inlineStr">
        <is>
          <t>18552</t>
        </is>
      </c>
      <c r="B23" s="10" t="inlineStr">
        <is>
          <t>Garrafa Inox 750Ml</t>
        </is>
      </c>
      <c r="C23" s="11" t="inlineStr">
        <is>
          <t>No catálogo</t>
        </is>
      </c>
      <c r="D23" s="11" t="inlineStr">
        <is>
          <t>Copos, Garrafas e Canecas</t>
        </is>
      </c>
      <c r="E23" s="12" t="n">
        <v>15.8</v>
      </c>
      <c r="F23" s="13" t="n">
        <v>20</v>
      </c>
      <c r="G23" s="14" t="n">
        <v>39.5</v>
      </c>
      <c r="H23" s="13" t="n">
        <v>50</v>
      </c>
      <c r="I23" s="14" t="n">
        <v>34.76</v>
      </c>
      <c r="J23" s="13" t="n">
        <v>100</v>
      </c>
      <c r="K23" s="14" t="n">
        <v>31.6</v>
      </c>
      <c r="L23" s="16">
        <f>IFERROR(G23/$E23,"")</f>
        <v/>
      </c>
      <c r="M23" s="16">
        <f>IFERROR(I23/$E23,"")</f>
        <v/>
      </c>
      <c r="N23" s="16">
        <f>IFERROR(K23/$E23,"")</f>
        <v/>
      </c>
    </row>
    <row r="24">
      <c r="A24" s="9" t="inlineStr">
        <is>
          <t>17011F</t>
        </is>
      </c>
      <c r="B24" s="10" t="inlineStr">
        <is>
          <t>Garrafa 750Ml Inox</t>
        </is>
      </c>
      <c r="C24" s="11" t="inlineStr">
        <is>
          <t>No catálogo</t>
        </is>
      </c>
      <c r="D24" s="11" t="inlineStr">
        <is>
          <t>Copos, Garrafas e Canecas</t>
        </is>
      </c>
      <c r="E24" s="12" t="n">
        <v>18.5</v>
      </c>
      <c r="F24" s="13" t="n">
        <v>20</v>
      </c>
      <c r="G24" s="14" t="n">
        <v>46.25</v>
      </c>
      <c r="H24" s="13" t="n">
        <v>50</v>
      </c>
      <c r="I24" s="14" t="n">
        <v>40.7</v>
      </c>
      <c r="J24" s="13" t="n">
        <v>100</v>
      </c>
      <c r="K24" s="14" t="n">
        <v>37</v>
      </c>
      <c r="L24" s="16">
        <f>IFERROR(G24/$E24,"")</f>
        <v/>
      </c>
      <c r="M24" s="16">
        <f>IFERROR(I24/$E24,"")</f>
        <v/>
      </c>
      <c r="N24" s="16">
        <f>IFERROR(K24/$E24,"")</f>
        <v/>
      </c>
    </row>
    <row r="25">
      <c r="A25" s="9" t="inlineStr">
        <is>
          <t>18855</t>
        </is>
      </c>
      <c r="B25" s="10" t="inlineStr">
        <is>
          <t>Garrafa Térmica Inox 850Ml</t>
        </is>
      </c>
      <c r="C25" s="11" t="inlineStr">
        <is>
          <t>No catálogo</t>
        </is>
      </c>
      <c r="D25" s="11" t="inlineStr">
        <is>
          <t>Copos, Garrafas e Canecas</t>
        </is>
      </c>
      <c r="E25" s="12" t="n">
        <v>30.9</v>
      </c>
      <c r="F25" s="13" t="n">
        <v>20</v>
      </c>
      <c r="G25" s="14" t="n">
        <v>77.25</v>
      </c>
      <c r="H25" s="13" t="n">
        <v>50</v>
      </c>
      <c r="I25" s="14" t="n">
        <v>67.98</v>
      </c>
      <c r="J25" s="13" t="n">
        <v>100</v>
      </c>
      <c r="K25" s="14" t="n">
        <v>61.8</v>
      </c>
      <c r="L25" s="16">
        <f>IFERROR(G25/$E25,"")</f>
        <v/>
      </c>
      <c r="M25" s="16">
        <f>IFERROR(I25/$E25,"")</f>
        <v/>
      </c>
      <c r="N25" s="16">
        <f>IFERROR(K25/$E25,"")</f>
        <v/>
      </c>
    </row>
    <row r="26">
      <c r="A26" s="9" t="inlineStr">
        <is>
          <t>08195</t>
        </is>
      </c>
      <c r="B26" s="10" t="inlineStr">
        <is>
          <t>Garrafa Térmica Inox 550Ml</t>
        </is>
      </c>
      <c r="C26" s="11" t="inlineStr">
        <is>
          <t>No catálogo</t>
        </is>
      </c>
      <c r="D26" s="11" t="inlineStr">
        <is>
          <t>Copos, Garrafas e Canecas</t>
        </is>
      </c>
      <c r="E26" s="12" t="n">
        <v>27.9</v>
      </c>
      <c r="F26" s="13" t="n">
        <v>20</v>
      </c>
      <c r="G26" s="14" t="n">
        <v>69.75</v>
      </c>
      <c r="H26" s="13" t="n">
        <v>50</v>
      </c>
      <c r="I26" s="14" t="n">
        <v>61.38</v>
      </c>
      <c r="J26" s="13" t="n">
        <v>100</v>
      </c>
      <c r="K26" s="14" t="n">
        <v>55.8</v>
      </c>
      <c r="L26" s="16">
        <f>IFERROR(G26/$E26,"")</f>
        <v/>
      </c>
      <c r="M26" s="16">
        <f>IFERROR(I26/$E26,"")</f>
        <v/>
      </c>
      <c r="N26" s="16">
        <f>IFERROR(K26/$E26,"")</f>
        <v/>
      </c>
    </row>
    <row r="27">
      <c r="A27" s="9" t="inlineStr">
        <is>
          <t>07392</t>
        </is>
      </c>
      <c r="B27" s="10" t="inlineStr">
        <is>
          <t>Caneca Inox 180Ml C/ Tampa</t>
        </is>
      </c>
      <c r="C27" s="11" t="inlineStr">
        <is>
          <t>No catálogo</t>
        </is>
      </c>
      <c r="D27" s="11" t="inlineStr">
        <is>
          <t>Copos, Garrafas e Canecas</t>
        </is>
      </c>
      <c r="E27" s="12" t="n">
        <v>6.8</v>
      </c>
      <c r="F27" s="13" t="n">
        <v>20</v>
      </c>
      <c r="G27" s="14" t="n">
        <v>17</v>
      </c>
      <c r="H27" s="13" t="n">
        <v>50</v>
      </c>
      <c r="I27" s="14" t="n">
        <v>14.96</v>
      </c>
      <c r="J27" s="13" t="n">
        <v>100</v>
      </c>
      <c r="K27" s="14" t="n">
        <v>13.6</v>
      </c>
      <c r="L27" s="16">
        <f>IFERROR(G27/$E27,"")</f>
        <v/>
      </c>
      <c r="M27" s="16">
        <f>IFERROR(I27/$E27,"")</f>
        <v/>
      </c>
      <c r="N27" s="16">
        <f>IFERROR(K27/$E27,"")</f>
        <v/>
      </c>
    </row>
    <row r="28">
      <c r="A28" s="9" t="inlineStr">
        <is>
          <t>04070</t>
        </is>
      </c>
      <c r="B28" s="10" t="inlineStr">
        <is>
          <t>Caneca Térmica 700Ml</t>
        </is>
      </c>
      <c r="C28" s="11" t="inlineStr">
        <is>
          <t>No catálogo</t>
        </is>
      </c>
      <c r="D28" s="11" t="inlineStr">
        <is>
          <t>Copos, Garrafas e Canecas</t>
        </is>
      </c>
      <c r="E28" s="12" t="n">
        <v>27</v>
      </c>
      <c r="F28" s="13" t="n">
        <v>20</v>
      </c>
      <c r="G28" s="14" t="n">
        <v>74.75</v>
      </c>
      <c r="H28" s="13" t="n">
        <v>50</v>
      </c>
      <c r="I28" s="14" t="n">
        <v>65.78</v>
      </c>
      <c r="J28" s="13" t="n">
        <v>100</v>
      </c>
      <c r="K28" s="14" t="n">
        <v>59.8</v>
      </c>
      <c r="L28" s="15">
        <f>IFERROR(G28/$E28,"")</f>
        <v/>
      </c>
      <c r="M28" s="16">
        <f>IFERROR(I28/$E28,"")</f>
        <v/>
      </c>
      <c r="N28" s="16">
        <f>IFERROR(K28/$E28,"")</f>
        <v/>
      </c>
    </row>
    <row r="29">
      <c r="A29" s="9" t="inlineStr">
        <is>
          <t>18912</t>
        </is>
      </c>
      <c r="B29" s="10" t="inlineStr">
        <is>
          <t>Caneca Térmica Inox 300Ml</t>
        </is>
      </c>
      <c r="C29" s="11" t="inlineStr">
        <is>
          <t>No catálogo</t>
        </is>
      </c>
      <c r="D29" s="11" t="inlineStr">
        <is>
          <t>Copos, Garrafas e Canecas</t>
        </is>
      </c>
      <c r="E29" s="12" t="n">
        <v>24.5</v>
      </c>
      <c r="F29" s="13" t="n">
        <v>20</v>
      </c>
      <c r="G29" s="14" t="n">
        <v>61.25</v>
      </c>
      <c r="H29" s="13" t="n">
        <v>50</v>
      </c>
      <c r="I29" s="14" t="n">
        <v>53.9</v>
      </c>
      <c r="J29" s="13" t="n">
        <v>100</v>
      </c>
      <c r="K29" s="14" t="n">
        <v>49</v>
      </c>
      <c r="L29" s="16">
        <f>IFERROR(G29/$E29,"")</f>
        <v/>
      </c>
      <c r="M29" s="16">
        <f>IFERROR(I29/$E29,"")</f>
        <v/>
      </c>
      <c r="N29" s="16">
        <f>IFERROR(K29/$E29,"")</f>
        <v/>
      </c>
    </row>
    <row r="30">
      <c r="A30" s="9" t="inlineStr">
        <is>
          <t>01320</t>
        </is>
      </c>
      <c r="B30" s="10" t="inlineStr">
        <is>
          <t>Mochila De Nylon Usb 20L</t>
        </is>
      </c>
      <c r="C30" s="11" t="inlineStr">
        <is>
          <t>No catálogo</t>
        </is>
      </c>
      <c r="D30" s="11" t="inlineStr">
        <is>
          <t>Mochilas, Bolsas e Malas</t>
        </is>
      </c>
      <c r="E30" s="12" t="n">
        <v>36.5</v>
      </c>
      <c r="F30" s="13" t="n">
        <v>20</v>
      </c>
      <c r="G30" s="14" t="n">
        <v>91.25</v>
      </c>
      <c r="H30" s="13" t="n">
        <v>50</v>
      </c>
      <c r="I30" s="14" t="n">
        <v>80.3</v>
      </c>
      <c r="J30" s="13" t="n">
        <v>100</v>
      </c>
      <c r="K30" s="14" t="n">
        <v>73</v>
      </c>
      <c r="L30" s="16">
        <f>IFERROR(G30/$E30,"")</f>
        <v/>
      </c>
      <c r="M30" s="16">
        <f>IFERROR(I30/$E30,"")</f>
        <v/>
      </c>
      <c r="N30" s="16">
        <f>IFERROR(K30/$E30,"")</f>
        <v/>
      </c>
    </row>
    <row r="31">
      <c r="A31" s="9" t="inlineStr">
        <is>
          <t>18539</t>
        </is>
      </c>
      <c r="B31" s="10" t="inlineStr">
        <is>
          <t>Mochila De Nylon Dobrável 21L</t>
        </is>
      </c>
      <c r="C31" s="11" t="inlineStr">
        <is>
          <t>No catálogo</t>
        </is>
      </c>
      <c r="D31" s="11" t="inlineStr">
        <is>
          <t>Mochilas, Bolsas e Malas</t>
        </is>
      </c>
      <c r="E31" s="12" t="n">
        <v>14.9</v>
      </c>
      <c r="F31" s="13" t="n">
        <v>20</v>
      </c>
      <c r="G31" s="14" t="n">
        <v>37.25</v>
      </c>
      <c r="H31" s="13" t="n">
        <v>50</v>
      </c>
      <c r="I31" s="14" t="n">
        <v>32.78</v>
      </c>
      <c r="J31" s="13" t="n">
        <v>100</v>
      </c>
      <c r="K31" s="14" t="n">
        <v>29.8</v>
      </c>
      <c r="L31" s="16">
        <f>IFERROR(G31/$E31,"")</f>
        <v/>
      </c>
      <c r="M31" s="16">
        <f>IFERROR(I31/$E31,"")</f>
        <v/>
      </c>
      <c r="N31" s="16">
        <f>IFERROR(K31/$E31,"")</f>
        <v/>
      </c>
    </row>
    <row r="32">
      <c r="A32" s="9" t="inlineStr">
        <is>
          <t>02105</t>
        </is>
      </c>
      <c r="B32" s="10" t="inlineStr">
        <is>
          <t>Mochila Nylon 17L</t>
        </is>
      </c>
      <c r="C32" s="11" t="inlineStr">
        <is>
          <t>No catálogo</t>
        </is>
      </c>
      <c r="D32" s="11" t="inlineStr">
        <is>
          <t>Mochilas, Bolsas e Malas</t>
        </is>
      </c>
      <c r="E32" s="12" t="n">
        <v>20.9</v>
      </c>
      <c r="F32" s="13" t="n">
        <v>20</v>
      </c>
      <c r="G32" s="14" t="n">
        <v>52.25</v>
      </c>
      <c r="H32" s="13" t="n">
        <v>50</v>
      </c>
      <c r="I32" s="14" t="n">
        <v>45.98</v>
      </c>
      <c r="J32" s="13" t="n">
        <v>100</v>
      </c>
      <c r="K32" s="14" t="n">
        <v>41.8</v>
      </c>
      <c r="L32" s="16">
        <f>IFERROR(G32/$E32,"")</f>
        <v/>
      </c>
      <c r="M32" s="16">
        <f>IFERROR(I32/$E32,"")</f>
        <v/>
      </c>
      <c r="N32" s="16">
        <f>IFERROR(K32/$E32,"")</f>
        <v/>
      </c>
    </row>
    <row r="33">
      <c r="A33" s="9" t="inlineStr">
        <is>
          <t>02066</t>
        </is>
      </c>
      <c r="B33" s="10" t="inlineStr">
        <is>
          <t>Mochila Nylon Poliester</t>
        </is>
      </c>
      <c r="C33" s="11" t="inlineStr">
        <is>
          <t>No catálogo</t>
        </is>
      </c>
      <c r="D33" s="11" t="inlineStr">
        <is>
          <t>Mochilas, Bolsas e Malas</t>
        </is>
      </c>
      <c r="E33" s="12" t="n">
        <v>65</v>
      </c>
      <c r="F33" s="13" t="n">
        <v>20</v>
      </c>
      <c r="G33" s="14" t="n">
        <v>162.5</v>
      </c>
      <c r="H33" s="13" t="n">
        <v>50</v>
      </c>
      <c r="I33" s="14" t="n">
        <v>143</v>
      </c>
      <c r="J33" s="13" t="n">
        <v>100</v>
      </c>
      <c r="K33" s="14" t="n">
        <v>130</v>
      </c>
      <c r="L33" s="16">
        <f>IFERROR(G33/$E33,"")</f>
        <v/>
      </c>
      <c r="M33" s="16">
        <f>IFERROR(I33/$E33,"")</f>
        <v/>
      </c>
      <c r="N33" s="16">
        <f>IFERROR(K33/$E33,"")</f>
        <v/>
      </c>
    </row>
    <row r="34">
      <c r="A34" s="9" t="inlineStr">
        <is>
          <t>18601</t>
        </is>
      </c>
      <c r="B34" s="10" t="inlineStr">
        <is>
          <t>Sacochila Poliéster</t>
        </is>
      </c>
      <c r="C34" s="11" t="inlineStr">
        <is>
          <t>No catálogo</t>
        </is>
      </c>
      <c r="D34" s="11" t="inlineStr">
        <is>
          <t>Mochilas, Bolsas e Malas</t>
        </is>
      </c>
      <c r="E34" s="12" t="n">
        <v>10.9</v>
      </c>
      <c r="F34" s="13" t="n">
        <v>20</v>
      </c>
      <c r="G34" s="14" t="n">
        <v>27.25</v>
      </c>
      <c r="H34" s="13" t="n">
        <v>50</v>
      </c>
      <c r="I34" s="14" t="n">
        <v>23.98</v>
      </c>
      <c r="J34" s="13" t="n">
        <v>100</v>
      </c>
      <c r="K34" s="14" t="n">
        <v>21.8</v>
      </c>
      <c r="L34" s="16">
        <f>IFERROR(G34/$E34,"")</f>
        <v/>
      </c>
      <c r="M34" s="16">
        <f>IFERROR(I34/$E34,"")</f>
        <v/>
      </c>
      <c r="N34" s="16">
        <f>IFERROR(K34/$E34,"")</f>
        <v/>
      </c>
    </row>
    <row r="35">
      <c r="A35" s="9" t="inlineStr">
        <is>
          <t>01326</t>
        </is>
      </c>
      <c r="B35" s="10" t="inlineStr">
        <is>
          <t>Mochila De Nylon Usb 20L</t>
        </is>
      </c>
      <c r="C35" s="11" t="inlineStr">
        <is>
          <t>No catálogo</t>
        </is>
      </c>
      <c r="D35" s="11" t="inlineStr">
        <is>
          <t>Mochilas, Bolsas e Malas</t>
        </is>
      </c>
      <c r="E35" s="12" t="n">
        <v>36.5</v>
      </c>
      <c r="F35" s="13" t="n">
        <v>20</v>
      </c>
      <c r="G35" s="14" t="n">
        <v>91.25</v>
      </c>
      <c r="H35" s="13" t="n">
        <v>50</v>
      </c>
      <c r="I35" s="14" t="n">
        <v>80.3</v>
      </c>
      <c r="J35" s="13" t="n">
        <v>100</v>
      </c>
      <c r="K35" s="14" t="n">
        <v>73</v>
      </c>
      <c r="L35" s="16">
        <f>IFERROR(G35/$E35,"")</f>
        <v/>
      </c>
      <c r="M35" s="16">
        <f>IFERROR(I35/$E35,"")</f>
        <v/>
      </c>
      <c r="N35" s="16">
        <f>IFERROR(K35/$E35,"")</f>
        <v/>
      </c>
    </row>
    <row r="36">
      <c r="A36" s="9" t="inlineStr">
        <is>
          <t>02596</t>
        </is>
      </c>
      <c r="B36" s="10" t="inlineStr">
        <is>
          <t>Bolsa Térmica 15L</t>
        </is>
      </c>
      <c r="C36" s="11" t="inlineStr">
        <is>
          <t>No catálogo</t>
        </is>
      </c>
      <c r="D36" s="11" t="inlineStr">
        <is>
          <t>Mochilas, Bolsas e Malas</t>
        </is>
      </c>
      <c r="E36" s="12" t="n">
        <v>12.5</v>
      </c>
      <c r="F36" s="13" t="n">
        <v>20</v>
      </c>
      <c r="G36" s="14" t="n">
        <v>31.25</v>
      </c>
      <c r="H36" s="13" t="n">
        <v>50</v>
      </c>
      <c r="I36" s="14" t="n">
        <v>27.5</v>
      </c>
      <c r="J36" s="13" t="n">
        <v>100</v>
      </c>
      <c r="K36" s="14" t="n">
        <v>25</v>
      </c>
      <c r="L36" s="16">
        <f>IFERROR(G36/$E36,"")</f>
        <v/>
      </c>
      <c r="M36" s="16">
        <f>IFERROR(I36/$E36,"")</f>
        <v/>
      </c>
      <c r="N36" s="16">
        <f>IFERROR(K36/$E36,"")</f>
        <v/>
      </c>
    </row>
    <row r="37">
      <c r="A37" s="9" t="inlineStr">
        <is>
          <t>02697</t>
        </is>
      </c>
      <c r="B37" s="10" t="inlineStr">
        <is>
          <t>Bolsa Térmica 17L</t>
        </is>
      </c>
      <c r="C37" s="11" t="inlineStr">
        <is>
          <t>No catálogo</t>
        </is>
      </c>
      <c r="D37" s="11" t="inlineStr">
        <is>
          <t>Mochilas, Bolsas e Malas</t>
        </is>
      </c>
      <c r="E37" s="12" t="n">
        <v>8.199999999999999</v>
      </c>
      <c r="F37" s="13" t="n">
        <v>20</v>
      </c>
      <c r="G37" s="14" t="n">
        <v>20.5</v>
      </c>
      <c r="H37" s="13" t="n">
        <v>50</v>
      </c>
      <c r="I37" s="14" t="n">
        <v>18.04</v>
      </c>
      <c r="J37" s="13" t="n">
        <v>100</v>
      </c>
      <c r="K37" s="14" t="n">
        <v>16.4</v>
      </c>
      <c r="L37" s="16">
        <f>IFERROR(G37/$E37,"")</f>
        <v/>
      </c>
      <c r="M37" s="16">
        <f>IFERROR(I37/$E37,"")</f>
        <v/>
      </c>
      <c r="N37" s="16">
        <f>IFERROR(K37/$E37,"")</f>
        <v/>
      </c>
    </row>
    <row r="38">
      <c r="A38" s="9" t="inlineStr">
        <is>
          <t>06070P</t>
        </is>
      </c>
      <c r="B38" s="10" t="inlineStr">
        <is>
          <t>Mala De Bordo 30 Litros</t>
        </is>
      </c>
      <c r="C38" s="11" t="inlineStr">
        <is>
          <t>No catálogo</t>
        </is>
      </c>
      <c r="D38" s="11" t="inlineStr">
        <is>
          <t>Mochilas, Bolsas e Malas</t>
        </is>
      </c>
      <c r="E38" s="12" t="n">
        <v>167</v>
      </c>
      <c r="F38" s="13" t="n">
        <v>20</v>
      </c>
      <c r="G38" s="14" t="n">
        <v>417.5</v>
      </c>
      <c r="H38" s="13" t="n">
        <v>50</v>
      </c>
      <c r="I38" s="14" t="n">
        <v>367.4</v>
      </c>
      <c r="J38" s="13" t="n">
        <v>100</v>
      </c>
      <c r="K38" s="14" t="n">
        <v>334</v>
      </c>
      <c r="L38" s="16">
        <f>IFERROR(G38/$E38,"")</f>
        <v/>
      </c>
      <c r="M38" s="16">
        <f>IFERROR(I38/$E38,"")</f>
        <v/>
      </c>
      <c r="N38" s="16">
        <f>IFERROR(K38/$E38,"")</f>
        <v/>
      </c>
    </row>
    <row r="39">
      <c r="A39" s="9" t="inlineStr">
        <is>
          <t>08242</t>
        </is>
      </c>
      <c r="B39" s="10" t="inlineStr">
        <is>
          <t>Mala De Viagem 37L</t>
        </is>
      </c>
      <c r="C39" s="11" t="inlineStr">
        <is>
          <t>No catálogo</t>
        </is>
      </c>
      <c r="D39" s="11" t="inlineStr">
        <is>
          <t>Mochilas, Bolsas e Malas</t>
        </is>
      </c>
      <c r="E39" s="12" t="n">
        <v>150</v>
      </c>
      <c r="F39" s="13" t="n">
        <v>20</v>
      </c>
      <c r="G39" s="14" t="n">
        <v>375</v>
      </c>
      <c r="H39" s="13" t="n">
        <v>50</v>
      </c>
      <c r="I39" s="14" t="n">
        <v>330</v>
      </c>
      <c r="J39" s="13" t="n">
        <v>100</v>
      </c>
      <c r="K39" s="14" t="n">
        <v>300</v>
      </c>
      <c r="L39" s="16">
        <f>IFERROR(G39/$E39,"")</f>
        <v/>
      </c>
      <c r="M39" s="16">
        <f>IFERROR(I39/$E39,"")</f>
        <v/>
      </c>
      <c r="N39" s="16">
        <f>IFERROR(K39/$E39,"")</f>
        <v/>
      </c>
    </row>
    <row r="40">
      <c r="A40" s="9" t="inlineStr">
        <is>
          <t>18516</t>
        </is>
      </c>
      <c r="B40" s="10" t="inlineStr">
        <is>
          <t>Necessaire Em Poliester Impermeável</t>
        </is>
      </c>
      <c r="C40" s="11" t="inlineStr">
        <is>
          <t>No catálogo</t>
        </is>
      </c>
      <c r="D40" s="11" t="inlineStr">
        <is>
          <t>Necessaires e Porta Joias</t>
        </is>
      </c>
      <c r="E40" s="12" t="n">
        <v>3.5</v>
      </c>
      <c r="F40" s="13" t="n">
        <v>20</v>
      </c>
      <c r="G40" s="14" t="n">
        <v>8.75</v>
      </c>
      <c r="H40" s="13" t="n">
        <v>50</v>
      </c>
      <c r="I40" s="14" t="n">
        <v>7.7</v>
      </c>
      <c r="J40" s="13" t="n">
        <v>100</v>
      </c>
      <c r="K40" s="14" t="n">
        <v>7</v>
      </c>
      <c r="L40" s="16">
        <f>IFERROR(G40/$E40,"")</f>
        <v/>
      </c>
      <c r="M40" s="16">
        <f>IFERROR(I40/$E40,"")</f>
        <v/>
      </c>
      <c r="N40" s="16">
        <f>IFERROR(K40/$E40,"")</f>
        <v/>
      </c>
    </row>
    <row r="41">
      <c r="A41" s="9" t="inlineStr">
        <is>
          <t>18501</t>
        </is>
      </c>
      <c r="B41" s="10" t="inlineStr">
        <is>
          <t>Nécessaire De Nylon</t>
        </is>
      </c>
      <c r="C41" s="11" t="inlineStr">
        <is>
          <t>No catálogo</t>
        </is>
      </c>
      <c r="D41" s="11" t="inlineStr">
        <is>
          <t>Necessaires e Porta Joias</t>
        </is>
      </c>
      <c r="E41" s="12" t="n">
        <v>8.5</v>
      </c>
      <c r="F41" s="13" t="n">
        <v>20</v>
      </c>
      <c r="G41" s="14" t="n">
        <v>21.25</v>
      </c>
      <c r="H41" s="13" t="n">
        <v>50</v>
      </c>
      <c r="I41" s="14" t="n">
        <v>18.7</v>
      </c>
      <c r="J41" s="13" t="n">
        <v>100</v>
      </c>
      <c r="K41" s="14" t="n">
        <v>17</v>
      </c>
      <c r="L41" s="16">
        <f>IFERROR(G41/$E41,"")</f>
        <v/>
      </c>
      <c r="M41" s="16">
        <f>IFERROR(I41/$E41,"")</f>
        <v/>
      </c>
      <c r="N41" s="16">
        <f>IFERROR(K41/$E41,"")</f>
        <v/>
      </c>
    </row>
    <row r="42">
      <c r="A42" s="9" t="inlineStr">
        <is>
          <t>01228P</t>
        </is>
      </c>
      <c r="B42" s="10" t="inlineStr">
        <is>
          <t>Necessaire Pvc Impermeável C/ Plaquinha</t>
        </is>
      </c>
      <c r="C42" s="11" t="inlineStr">
        <is>
          <t>No catálogo</t>
        </is>
      </c>
      <c r="D42" s="11" t="inlineStr">
        <is>
          <t>Necessaires e Porta Joias</t>
        </is>
      </c>
      <c r="E42" s="12" t="n">
        <v>10.9</v>
      </c>
      <c r="F42" s="13" t="n">
        <v>20</v>
      </c>
      <c r="G42" s="14" t="n">
        <v>27.25</v>
      </c>
      <c r="H42" s="13" t="n">
        <v>50</v>
      </c>
      <c r="I42" s="14" t="n">
        <v>23.98</v>
      </c>
      <c r="J42" s="13" t="n">
        <v>100</v>
      </c>
      <c r="K42" s="14" t="n">
        <v>21.8</v>
      </c>
      <c r="L42" s="16">
        <f>IFERROR(G42/$E42,"")</f>
        <v/>
      </c>
      <c r="M42" s="16">
        <f>IFERROR(I42/$E42,"")</f>
        <v/>
      </c>
      <c r="N42" s="16">
        <f>IFERROR(K42/$E42,"")</f>
        <v/>
      </c>
    </row>
    <row r="43">
      <c r="A43" s="9" t="inlineStr">
        <is>
          <t>18753</t>
        </is>
      </c>
      <c r="B43" s="10" t="inlineStr">
        <is>
          <t>Nécessaire De Poliéster</t>
        </is>
      </c>
      <c r="C43" s="11" t="inlineStr">
        <is>
          <t>No catálogo</t>
        </is>
      </c>
      <c r="D43" s="11" t="inlineStr">
        <is>
          <t>Necessaires e Porta Joias</t>
        </is>
      </c>
      <c r="E43" s="12" t="n">
        <v>18.9</v>
      </c>
      <c r="F43" s="13" t="n">
        <v>20</v>
      </c>
      <c r="G43" s="14" t="n">
        <v>47.25</v>
      </c>
      <c r="H43" s="13" t="n">
        <v>50</v>
      </c>
      <c r="I43" s="14" t="n">
        <v>41.58</v>
      </c>
      <c r="J43" s="13" t="n">
        <v>100</v>
      </c>
      <c r="K43" s="14" t="n">
        <v>37.8</v>
      </c>
      <c r="L43" s="16">
        <f>IFERROR(G43/$E43,"")</f>
        <v/>
      </c>
      <c r="M43" s="16">
        <f>IFERROR(I43/$E43,"")</f>
        <v/>
      </c>
      <c r="N43" s="16">
        <f>IFERROR(K43/$E43,"")</f>
        <v/>
      </c>
    </row>
    <row r="44">
      <c r="A44" s="9" t="inlineStr">
        <is>
          <t>01622B</t>
        </is>
      </c>
      <c r="B44" s="10" t="inlineStr">
        <is>
          <t>Porta Joias</t>
        </is>
      </c>
      <c r="C44" s="11" t="inlineStr">
        <is>
          <t>No catálogo</t>
        </is>
      </c>
      <c r="D44" s="11" t="inlineStr">
        <is>
          <t>Necessaires e Porta Joias</t>
        </is>
      </c>
      <c r="E44" s="12" t="n">
        <v>8.199999999999999</v>
      </c>
      <c r="F44" s="13" t="n">
        <v>20</v>
      </c>
      <c r="G44" s="14" t="n">
        <v>20.5</v>
      </c>
      <c r="H44" s="13" t="n">
        <v>50</v>
      </c>
      <c r="I44" s="14" t="n">
        <v>18.04</v>
      </c>
      <c r="J44" s="13" t="n">
        <v>100</v>
      </c>
      <c r="K44" s="14" t="n">
        <v>16.4</v>
      </c>
      <c r="L44" s="16">
        <f>IFERROR(G44/$E44,"")</f>
        <v/>
      </c>
      <c r="M44" s="16">
        <f>IFERROR(I44/$E44,"")</f>
        <v/>
      </c>
      <c r="N44" s="16">
        <f>IFERROR(K44/$E44,"")</f>
        <v/>
      </c>
    </row>
    <row r="45">
      <c r="A45" s="9" t="inlineStr">
        <is>
          <t>08142</t>
        </is>
      </c>
      <c r="B45" s="10" t="inlineStr">
        <is>
          <t>Porta-Joias Com Espelho</t>
        </is>
      </c>
      <c r="C45" s="11" t="inlineStr">
        <is>
          <t>No catálogo</t>
        </is>
      </c>
      <c r="D45" s="11" t="inlineStr">
        <is>
          <t>Necessaires e Porta Joias</t>
        </is>
      </c>
      <c r="E45" s="12" t="n">
        <v>10.9</v>
      </c>
      <c r="F45" s="13" t="n">
        <v>20</v>
      </c>
      <c r="G45" s="14" t="n">
        <v>27.25</v>
      </c>
      <c r="H45" s="13" t="n">
        <v>50</v>
      </c>
      <c r="I45" s="14" t="n">
        <v>23.98</v>
      </c>
      <c r="J45" s="13" t="n">
        <v>100</v>
      </c>
      <c r="K45" s="14" t="n">
        <v>21.8</v>
      </c>
      <c r="L45" s="16">
        <f>IFERROR(G45/$E45,"")</f>
        <v/>
      </c>
      <c r="M45" s="16">
        <f>IFERROR(I45/$E45,"")</f>
        <v/>
      </c>
      <c r="N45" s="16">
        <f>IFERROR(K45/$E45,"")</f>
        <v/>
      </c>
    </row>
    <row r="46">
      <c r="A46" s="9" t="inlineStr">
        <is>
          <t>18717</t>
        </is>
      </c>
      <c r="B46" s="10" t="inlineStr">
        <is>
          <t>Porta Joias</t>
        </is>
      </c>
      <c r="C46" s="11" t="inlineStr">
        <is>
          <t>No catálogo</t>
        </is>
      </c>
      <c r="D46" s="11" t="inlineStr">
        <is>
          <t>Necessaires e Porta Joias</t>
        </is>
      </c>
      <c r="E46" s="12" t="n">
        <v>33.9</v>
      </c>
      <c r="F46" s="13" t="n">
        <v>20</v>
      </c>
      <c r="G46" s="14" t="n">
        <v>84.75</v>
      </c>
      <c r="H46" s="13" t="n">
        <v>50</v>
      </c>
      <c r="I46" s="14" t="n">
        <v>74.58</v>
      </c>
      <c r="J46" s="13" t="n">
        <v>100</v>
      </c>
      <c r="K46" s="14" t="n">
        <v>67.8</v>
      </c>
      <c r="L46" s="16">
        <f>IFERROR(G46/$E46,"")</f>
        <v/>
      </c>
      <c r="M46" s="16">
        <f>IFERROR(I46/$E46,"")</f>
        <v/>
      </c>
      <c r="N46" s="16">
        <f>IFERROR(K46/$E46,"")</f>
        <v/>
      </c>
    </row>
    <row r="47">
      <c r="A47" s="9" t="inlineStr">
        <is>
          <t>18724</t>
        </is>
      </c>
      <c r="B47" s="10" t="inlineStr">
        <is>
          <t>Kit Manicure 16 Peças</t>
        </is>
      </c>
      <c r="C47" s="11" t="inlineStr">
        <is>
          <t>No catálogo</t>
        </is>
      </c>
      <c r="D47" s="11" t="inlineStr">
        <is>
          <t>Necessaires e Porta Joias</t>
        </is>
      </c>
      <c r="E47" s="12" t="n">
        <v>15</v>
      </c>
      <c r="F47" s="13" t="n">
        <v>20</v>
      </c>
      <c r="G47" s="14" t="n">
        <v>37.5</v>
      </c>
      <c r="H47" s="13" t="n">
        <v>50</v>
      </c>
      <c r="I47" s="14" t="n">
        <v>33</v>
      </c>
      <c r="J47" s="13" t="n">
        <v>100</v>
      </c>
      <c r="K47" s="14" t="n">
        <v>30</v>
      </c>
      <c r="L47" s="16">
        <f>IFERROR(G47/$E47,"")</f>
        <v/>
      </c>
      <c r="M47" s="16">
        <f>IFERROR(I47/$E47,"")</f>
        <v/>
      </c>
      <c r="N47" s="16">
        <f>IFERROR(K47/$E47,"")</f>
        <v/>
      </c>
    </row>
    <row r="48">
      <c r="A48" s="9" t="inlineStr">
        <is>
          <t>18900</t>
        </is>
      </c>
      <c r="B48" s="10" t="inlineStr">
        <is>
          <t>Kit Manicure 10 Peças</t>
        </is>
      </c>
      <c r="C48" s="11" t="inlineStr">
        <is>
          <t>No catálogo</t>
        </is>
      </c>
      <c r="D48" s="11" t="inlineStr">
        <is>
          <t>Necessaires e Porta Joias</t>
        </is>
      </c>
      <c r="E48" s="12" t="n">
        <v>13.5</v>
      </c>
      <c r="F48" s="13" t="n">
        <v>20</v>
      </c>
      <c r="G48" s="14" t="n">
        <v>33.75</v>
      </c>
      <c r="H48" s="13" t="n">
        <v>50</v>
      </c>
      <c r="I48" s="14" t="n">
        <v>29.7</v>
      </c>
      <c r="J48" s="13" t="n">
        <v>100</v>
      </c>
      <c r="K48" s="14" t="n">
        <v>27</v>
      </c>
      <c r="L48" s="16">
        <f>IFERROR(G48/$E48,"")</f>
        <v/>
      </c>
      <c r="M48" s="16">
        <f>IFERROR(I48/$E48,"")</f>
        <v/>
      </c>
      <c r="N48" s="16">
        <f>IFERROR(K48/$E48,"")</f>
        <v/>
      </c>
    </row>
    <row r="49">
      <c r="A49" s="9" t="inlineStr">
        <is>
          <t>03009</t>
        </is>
      </c>
      <c r="B49" s="10" t="inlineStr">
        <is>
          <t>Caderneta Emborrachada</t>
        </is>
      </c>
      <c r="C49" s="11" t="inlineStr">
        <is>
          <t>No catálogo</t>
        </is>
      </c>
      <c r="D49" s="11" t="inlineStr">
        <is>
          <t>Cadernetas, Blocos e Canetas</t>
        </is>
      </c>
      <c r="E49" s="12" t="n">
        <v>4</v>
      </c>
      <c r="F49" s="13" t="n">
        <v>20</v>
      </c>
      <c r="G49" s="14" t="n">
        <v>10</v>
      </c>
      <c r="H49" s="13" t="n">
        <v>50</v>
      </c>
      <c r="I49" s="14" t="n">
        <v>8.800000000000001</v>
      </c>
      <c r="J49" s="13" t="n">
        <v>100</v>
      </c>
      <c r="K49" s="14" t="n">
        <v>8</v>
      </c>
      <c r="L49" s="16">
        <f>IFERROR(G49/$E49,"")</f>
        <v/>
      </c>
      <c r="M49" s="16">
        <f>IFERROR(I49/$E49,"")</f>
        <v/>
      </c>
      <c r="N49" s="16">
        <f>IFERROR(K49/$E49,"")</f>
        <v/>
      </c>
    </row>
    <row r="50">
      <c r="A50" s="9" t="inlineStr">
        <is>
          <t>05067</t>
        </is>
      </c>
      <c r="B50" s="10" t="inlineStr">
        <is>
          <t>Caderneta Emborrachada</t>
        </is>
      </c>
      <c r="C50" s="11" t="inlineStr">
        <is>
          <t>No catálogo</t>
        </is>
      </c>
      <c r="D50" s="11" t="inlineStr">
        <is>
          <t>Cadernetas, Blocos e Canetas</t>
        </is>
      </c>
      <c r="E50" s="12" t="n">
        <v>6.8</v>
      </c>
      <c r="F50" s="13" t="n">
        <v>20</v>
      </c>
      <c r="G50" s="14" t="n">
        <v>17</v>
      </c>
      <c r="H50" s="13" t="n">
        <v>50</v>
      </c>
      <c r="I50" s="14" t="n">
        <v>14.96</v>
      </c>
      <c r="J50" s="13" t="n">
        <v>100</v>
      </c>
      <c r="K50" s="14" t="n">
        <v>13.6</v>
      </c>
      <c r="L50" s="16">
        <f>IFERROR(G50/$E50,"")</f>
        <v/>
      </c>
      <c r="M50" s="16">
        <f>IFERROR(I50/$E50,"")</f>
        <v/>
      </c>
      <c r="N50" s="16">
        <f>IFERROR(K50/$E50,"")</f>
        <v/>
      </c>
    </row>
    <row r="51">
      <c r="A51" s="9" t="inlineStr">
        <is>
          <t>14092N</t>
        </is>
      </c>
      <c r="B51" s="10" t="inlineStr">
        <is>
          <t>Caderneta Emborrachada Com Porta Caneta</t>
        </is>
      </c>
      <c r="C51" s="11" t="inlineStr">
        <is>
          <t>No catálogo</t>
        </is>
      </c>
      <c r="D51" s="11" t="inlineStr">
        <is>
          <t>Cadernetas, Blocos e Canetas</t>
        </is>
      </c>
      <c r="E51" s="12" t="n">
        <v>11</v>
      </c>
      <c r="F51" s="13" t="n">
        <v>20</v>
      </c>
      <c r="G51" s="14" t="n">
        <v>28</v>
      </c>
      <c r="H51" s="13" t="n">
        <v>50</v>
      </c>
      <c r="I51" s="14" t="n">
        <v>24.64</v>
      </c>
      <c r="J51" s="13" t="n">
        <v>100</v>
      </c>
      <c r="K51" s="14" t="n">
        <v>22.4</v>
      </c>
      <c r="L51" s="15">
        <f>IFERROR(G51/$E51,"")</f>
        <v/>
      </c>
      <c r="M51" s="16">
        <f>IFERROR(I51/$E51,"")</f>
        <v/>
      </c>
      <c r="N51" s="16">
        <f>IFERROR(K51/$E51,"")</f>
        <v/>
      </c>
    </row>
    <row r="52">
      <c r="A52" s="9" t="inlineStr">
        <is>
          <t>05071</t>
        </is>
      </c>
      <c r="B52" s="10" t="inlineStr">
        <is>
          <t>Caderno A5 Plástico</t>
        </is>
      </c>
      <c r="C52" s="11" t="inlineStr">
        <is>
          <t>No catálogo</t>
        </is>
      </c>
      <c r="D52" s="11" t="inlineStr">
        <is>
          <t>Cadernetas, Blocos e Canetas</t>
        </is>
      </c>
      <c r="E52" s="12" t="n">
        <v>4.9</v>
      </c>
      <c r="F52" s="13" t="n">
        <v>20</v>
      </c>
      <c r="G52" s="14" t="n">
        <v>12.25</v>
      </c>
      <c r="H52" s="13" t="n">
        <v>50</v>
      </c>
      <c r="I52" s="14" t="n">
        <v>10.78</v>
      </c>
      <c r="J52" s="13" t="n">
        <v>100</v>
      </c>
      <c r="K52" s="14" t="n">
        <v>9.800000000000001</v>
      </c>
      <c r="L52" s="16">
        <f>IFERROR(G52/$E52,"")</f>
        <v/>
      </c>
      <c r="M52" s="16">
        <f>IFERROR(I52/$E52,"")</f>
        <v/>
      </c>
      <c r="N52" s="16">
        <f>IFERROR(K52/$E52,"")</f>
        <v/>
      </c>
    </row>
    <row r="53">
      <c r="A53" s="9" t="inlineStr">
        <is>
          <t>06098</t>
        </is>
      </c>
      <c r="B53" s="10" t="inlineStr">
        <is>
          <t>Bloco De Anotações Com Caneta</t>
        </is>
      </c>
      <c r="C53" s="11" t="inlineStr">
        <is>
          <t>No catálogo</t>
        </is>
      </c>
      <c r="D53" s="11" t="inlineStr">
        <is>
          <t>Cadernetas, Blocos e Canetas</t>
        </is>
      </c>
      <c r="E53" s="12" t="n">
        <v>5.7</v>
      </c>
      <c r="F53" s="13" t="n">
        <v>20</v>
      </c>
      <c r="G53" s="14" t="n">
        <v>14.25</v>
      </c>
      <c r="H53" s="13" t="n">
        <v>50</v>
      </c>
      <c r="I53" s="14" t="n">
        <v>12.54</v>
      </c>
      <c r="J53" s="13" t="n">
        <v>100</v>
      </c>
      <c r="K53" s="14" t="n">
        <v>11.4</v>
      </c>
      <c r="L53" s="16">
        <f>IFERROR(G53/$E53,"")</f>
        <v/>
      </c>
      <c r="M53" s="16">
        <f>IFERROR(I53/$E53,"")</f>
        <v/>
      </c>
      <c r="N53" s="16">
        <f>IFERROR(K53/$E53,"")</f>
        <v/>
      </c>
    </row>
    <row r="54">
      <c r="A54" s="9" t="inlineStr">
        <is>
          <t>12638</t>
        </is>
      </c>
      <c r="B54" s="10" t="inlineStr">
        <is>
          <t>Caneta Plástica Touch</t>
        </is>
      </c>
      <c r="C54" s="11" t="inlineStr">
        <is>
          <t>No catálogo</t>
        </is>
      </c>
      <c r="D54" s="11" t="inlineStr">
        <is>
          <t>Cadernetas, Blocos e Canetas</t>
        </is>
      </c>
      <c r="E54" s="12" t="n">
        <v>0.88</v>
      </c>
      <c r="F54" s="13" t="n">
        <v>100</v>
      </c>
      <c r="G54" s="14" t="n">
        <v>2.2</v>
      </c>
      <c r="H54" s="13" t="n">
        <v>200</v>
      </c>
      <c r="I54" s="14" t="n">
        <v>1.94</v>
      </c>
      <c r="J54" s="13" t="n">
        <v>1000</v>
      </c>
      <c r="K54" s="14" t="n">
        <v>1.76</v>
      </c>
      <c r="L54" s="16">
        <f>IFERROR(G54/$E54,"")</f>
        <v/>
      </c>
      <c r="M54" s="16">
        <f>IFERROR(I54/$E54,"")</f>
        <v/>
      </c>
      <c r="N54" s="16">
        <f>IFERROR(K54/$E54,"")</f>
        <v/>
      </c>
    </row>
    <row r="55">
      <c r="A55" s="9" t="inlineStr">
        <is>
          <t>ER143B</t>
        </is>
      </c>
      <c r="B55" s="10" t="inlineStr">
        <is>
          <t>Caneta Metal</t>
        </is>
      </c>
      <c r="C55" s="11" t="inlineStr">
        <is>
          <t>No catálogo</t>
        </is>
      </c>
      <c r="D55" s="11" t="inlineStr">
        <is>
          <t>Cadernetas, Blocos e Canetas</t>
        </is>
      </c>
      <c r="E55" s="12" t="n">
        <v>1.5</v>
      </c>
      <c r="F55" s="13" t="n">
        <v>100</v>
      </c>
      <c r="G55" s="14" t="n">
        <v>3.75</v>
      </c>
      <c r="H55" s="13" t="n">
        <v>200</v>
      </c>
      <c r="I55" s="14" t="n">
        <v>3.3</v>
      </c>
      <c r="J55" s="13" t="n">
        <v>1000</v>
      </c>
      <c r="K55" s="14" t="n">
        <v>3</v>
      </c>
      <c r="L55" s="16">
        <f>IFERROR(G55/$E55,"")</f>
        <v/>
      </c>
      <c r="M55" s="16">
        <f>IFERROR(I55/$E55,"")</f>
        <v/>
      </c>
      <c r="N55" s="16">
        <f>IFERROR(K55/$E55,"")</f>
        <v/>
      </c>
    </row>
    <row r="56">
      <c r="A56" s="9" t="inlineStr">
        <is>
          <t>13499B</t>
        </is>
      </c>
      <c r="B56" s="10" t="inlineStr">
        <is>
          <t>Caneta Plastica C/ Suporte E Touch</t>
        </is>
      </c>
      <c r="C56" s="11" t="inlineStr">
        <is>
          <t>No catálogo</t>
        </is>
      </c>
      <c r="D56" s="11" t="inlineStr">
        <is>
          <t>Cadernetas, Blocos e Canetas</t>
        </is>
      </c>
      <c r="E56" s="12" t="n">
        <v>1.2</v>
      </c>
      <c r="F56" s="13" t="n">
        <v>100</v>
      </c>
      <c r="G56" s="14" t="n">
        <v>3</v>
      </c>
      <c r="H56" s="13" t="n">
        <v>200</v>
      </c>
      <c r="I56" s="14" t="n">
        <v>2.64</v>
      </c>
      <c r="J56" s="13" t="n">
        <v>1000</v>
      </c>
      <c r="K56" s="14" t="n">
        <v>2.4</v>
      </c>
      <c r="L56" s="16">
        <f>IFERROR(G56/$E56,"")</f>
        <v/>
      </c>
      <c r="M56" s="16">
        <f>IFERROR(I56/$E56,"")</f>
        <v/>
      </c>
      <c r="N56" s="16">
        <f>IFERROR(K56/$E56,"")</f>
        <v/>
      </c>
    </row>
    <row r="57">
      <c r="A57" s="9" t="inlineStr">
        <is>
          <t>05015B</t>
        </is>
      </c>
      <c r="B57" s="10" t="inlineStr">
        <is>
          <t>Caneta Metal Touch</t>
        </is>
      </c>
      <c r="C57" s="11" t="inlineStr">
        <is>
          <t>No catálogo</t>
        </is>
      </c>
      <c r="D57" s="11" t="inlineStr">
        <is>
          <t>Cadernetas, Blocos e Canetas</t>
        </is>
      </c>
      <c r="E57" s="12" t="n">
        <v>2</v>
      </c>
      <c r="F57" s="13" t="n">
        <v>100</v>
      </c>
      <c r="G57" s="14" t="n">
        <v>5</v>
      </c>
      <c r="H57" s="13" t="n">
        <v>200</v>
      </c>
      <c r="I57" s="14" t="n">
        <v>4.4</v>
      </c>
      <c r="J57" s="13" t="n">
        <v>1000</v>
      </c>
      <c r="K57" s="14" t="n">
        <v>4</v>
      </c>
      <c r="L57" s="16">
        <f>IFERROR(G57/$E57,"")</f>
        <v/>
      </c>
      <c r="M57" s="16">
        <f>IFERROR(I57/$E57,"")</f>
        <v/>
      </c>
      <c r="N57" s="16">
        <f>IFERROR(K57/$E57,"")</f>
        <v/>
      </c>
    </row>
    <row r="58">
      <c r="A58" s="9" t="inlineStr">
        <is>
          <t>09824</t>
        </is>
      </c>
      <c r="B58" s="10" t="inlineStr">
        <is>
          <t>Chaveiro Metal Abridor</t>
        </is>
      </c>
      <c r="C58" s="11" t="inlineStr">
        <is>
          <t>No catálogo</t>
        </is>
      </c>
      <c r="D58" s="11" t="inlineStr">
        <is>
          <t>Chaveiros, Mouse Pad e Kit Executivo</t>
        </is>
      </c>
      <c r="E58" s="12" t="n">
        <v>0.83</v>
      </c>
      <c r="F58" s="13" t="n">
        <v>100</v>
      </c>
      <c r="G58" s="14" t="n">
        <v>2.07</v>
      </c>
      <c r="H58" s="13" t="n">
        <v>200</v>
      </c>
      <c r="I58" s="14" t="n">
        <v>1.82</v>
      </c>
      <c r="J58" s="13" t="n">
        <v>1000</v>
      </c>
      <c r="K58" s="14" t="n">
        <v>1.66</v>
      </c>
      <c r="L58" s="16">
        <f>IFERROR(G58/$E58,"")</f>
        <v/>
      </c>
      <c r="M58" s="16">
        <f>IFERROR(I58/$E58,"")</f>
        <v/>
      </c>
      <c r="N58" s="16">
        <f>IFERROR(K58/$E58,"")</f>
        <v/>
      </c>
    </row>
    <row r="59">
      <c r="A59" s="9" t="inlineStr">
        <is>
          <t>01955</t>
        </is>
      </c>
      <c r="B59" s="10" t="inlineStr">
        <is>
          <t>Chaveiro Metal Retangular</t>
        </is>
      </c>
      <c r="C59" s="11" t="inlineStr">
        <is>
          <t>No catálogo</t>
        </is>
      </c>
      <c r="D59" s="11" t="inlineStr">
        <is>
          <t>Chaveiros, Mouse Pad e Kit Executivo</t>
        </is>
      </c>
      <c r="E59" s="12" t="n">
        <v>3</v>
      </c>
      <c r="F59" s="13" t="n">
        <v>20</v>
      </c>
      <c r="G59" s="14" t="n">
        <v>7.5</v>
      </c>
      <c r="H59" s="13" t="n">
        <v>50</v>
      </c>
      <c r="I59" s="14" t="n">
        <v>6.6</v>
      </c>
      <c r="J59" s="13" t="n">
        <v>100</v>
      </c>
      <c r="K59" s="14" t="n">
        <v>6</v>
      </c>
      <c r="L59" s="16">
        <f>IFERROR(G59/$E59,"")</f>
        <v/>
      </c>
      <c r="M59" s="16">
        <f>IFERROR(I59/$E59,"")</f>
        <v/>
      </c>
      <c r="N59" s="16">
        <f>IFERROR(K59/$E59,"")</f>
        <v/>
      </c>
    </row>
    <row r="60">
      <c r="A60" s="9" t="inlineStr">
        <is>
          <t>08232</t>
        </is>
      </c>
      <c r="B60" s="10" t="inlineStr">
        <is>
          <t>Chaveiro Trena Plástico 2 Metros</t>
        </is>
      </c>
      <c r="C60" s="11" t="inlineStr">
        <is>
          <t>No catálogo</t>
        </is>
      </c>
      <c r="D60" s="11" t="inlineStr">
        <is>
          <t>Chaveiros, Mouse Pad e Kit Executivo</t>
        </is>
      </c>
      <c r="E60" s="12" t="n">
        <v>2.2</v>
      </c>
      <c r="F60" s="13" t="n">
        <v>20</v>
      </c>
      <c r="G60" s="14" t="n">
        <v>5.5</v>
      </c>
      <c r="H60" s="13" t="n">
        <v>50</v>
      </c>
      <c r="I60" s="14" t="n">
        <v>4.84</v>
      </c>
      <c r="J60" s="13" t="n">
        <v>100</v>
      </c>
      <c r="K60" s="14" t="n">
        <v>4.4</v>
      </c>
      <c r="L60" s="16">
        <f>IFERROR(G60/$E60,"")</f>
        <v/>
      </c>
      <c r="M60" s="16">
        <f>IFERROR(I60/$E60,"")</f>
        <v/>
      </c>
      <c r="N60" s="16">
        <f>IFERROR(K60/$E60,"")</f>
        <v/>
      </c>
    </row>
    <row r="61">
      <c r="A61" s="9" t="inlineStr">
        <is>
          <t>01812</t>
        </is>
      </c>
      <c r="B61" s="10" t="inlineStr">
        <is>
          <t>Mouse Pad</t>
        </is>
      </c>
      <c r="C61" s="11" t="inlineStr">
        <is>
          <t>No catálogo</t>
        </is>
      </c>
      <c r="D61" s="11" t="inlineStr">
        <is>
          <t>Chaveiros, Mouse Pad e Kit Executivo</t>
        </is>
      </c>
      <c r="E61" s="12" t="n">
        <v>1.9</v>
      </c>
      <c r="F61" s="13" t="n">
        <v>20</v>
      </c>
      <c r="G61" s="14" t="n">
        <v>4.75</v>
      </c>
      <c r="H61" s="13" t="n">
        <v>50</v>
      </c>
      <c r="I61" s="14" t="n">
        <v>4.18</v>
      </c>
      <c r="J61" s="13" t="n">
        <v>100</v>
      </c>
      <c r="K61" s="14" t="n">
        <v>3.8</v>
      </c>
      <c r="L61" s="16">
        <f>IFERROR(G61/$E61,"")</f>
        <v/>
      </c>
      <c r="M61" s="16">
        <f>IFERROR(I61/$E61,"")</f>
        <v/>
      </c>
      <c r="N61" s="16">
        <f>IFERROR(K61/$E61,"")</f>
        <v/>
      </c>
    </row>
    <row r="62">
      <c r="A62" s="9" t="inlineStr">
        <is>
          <t>03007</t>
        </is>
      </c>
      <c r="B62" s="10" t="inlineStr">
        <is>
          <t>Mouse Pad Ergonômico</t>
        </is>
      </c>
      <c r="C62" s="11" t="inlineStr">
        <is>
          <t>No catálogo</t>
        </is>
      </c>
      <c r="D62" s="11" t="inlineStr">
        <is>
          <t>Chaveiros, Mouse Pad e Kit Executivo</t>
        </is>
      </c>
      <c r="E62" s="12" t="n">
        <v>4.5</v>
      </c>
      <c r="F62" s="13" t="n">
        <v>20</v>
      </c>
      <c r="G62" s="14" t="n">
        <v>11.25</v>
      </c>
      <c r="H62" s="13" t="n">
        <v>50</v>
      </c>
      <c r="I62" s="14" t="n">
        <v>9.9</v>
      </c>
      <c r="J62" s="13" t="n">
        <v>100</v>
      </c>
      <c r="K62" s="14" t="n">
        <v>9</v>
      </c>
      <c r="L62" s="16">
        <f>IFERROR(G62/$E62,"")</f>
        <v/>
      </c>
      <c r="M62" s="16">
        <f>IFERROR(I62/$E62,"")</f>
        <v/>
      </c>
      <c r="N62" s="16">
        <f>IFERROR(K62/$E62,"")</f>
        <v/>
      </c>
    </row>
    <row r="63">
      <c r="A63" s="9" t="inlineStr">
        <is>
          <t>01810</t>
        </is>
      </c>
      <c r="B63" s="10" t="inlineStr">
        <is>
          <t>Mouse Pad C/ Almofada</t>
        </is>
      </c>
      <c r="C63" s="11" t="inlineStr">
        <is>
          <t>No catálogo</t>
        </is>
      </c>
      <c r="D63" s="11" t="inlineStr">
        <is>
          <t>Chaveiros, Mouse Pad e Kit Executivo</t>
        </is>
      </c>
      <c r="E63" s="12" t="n">
        <v>8.5</v>
      </c>
      <c r="F63" s="13" t="n">
        <v>20</v>
      </c>
      <c r="G63" s="14" t="n">
        <v>21.25</v>
      </c>
      <c r="H63" s="13" t="n">
        <v>50</v>
      </c>
      <c r="I63" s="14" t="n">
        <v>18.7</v>
      </c>
      <c r="J63" s="13" t="n">
        <v>100</v>
      </c>
      <c r="K63" s="14" t="n">
        <v>17</v>
      </c>
      <c r="L63" s="16">
        <f>IFERROR(G63/$E63,"")</f>
        <v/>
      </c>
      <c r="M63" s="16">
        <f>IFERROR(I63/$E63,"")</f>
        <v/>
      </c>
      <c r="N63" s="16">
        <f>IFERROR(K63/$E63,"")</f>
        <v/>
      </c>
    </row>
    <row r="64">
      <c r="A64" s="9" t="inlineStr">
        <is>
          <t>07048B</t>
        </is>
      </c>
      <c r="B64" s="10" t="inlineStr">
        <is>
          <t>Kit Executivo Ecológico 3 Peças</t>
        </is>
      </c>
      <c r="C64" s="11" t="inlineStr">
        <is>
          <t>No catálogo</t>
        </is>
      </c>
      <c r="D64" s="11" t="inlineStr">
        <is>
          <t>Chaveiros, Mouse Pad e Kit Executivo</t>
        </is>
      </c>
      <c r="E64" s="12" t="n">
        <v>21.9</v>
      </c>
      <c r="F64" s="13" t="n">
        <v>20</v>
      </c>
      <c r="G64" s="14" t="n">
        <v>54.75</v>
      </c>
      <c r="H64" s="13" t="n">
        <v>50</v>
      </c>
      <c r="I64" s="14" t="n">
        <v>48.18</v>
      </c>
      <c r="J64" s="13" t="n">
        <v>100</v>
      </c>
      <c r="K64" s="14" t="n">
        <v>43.8</v>
      </c>
      <c r="L64" s="16">
        <f>IFERROR(G64/$E64,"")</f>
        <v/>
      </c>
      <c r="M64" s="16">
        <f>IFERROR(I64/$E64,"")</f>
        <v/>
      </c>
      <c r="N64" s="16">
        <f>IFERROR(K64/$E64,"")</f>
        <v/>
      </c>
    </row>
    <row r="65">
      <c r="A65" s="9" t="inlineStr">
        <is>
          <t>08254</t>
        </is>
      </c>
      <c r="B65" s="10" t="inlineStr">
        <is>
          <t>Kit Executivo 2 Peças</t>
        </is>
      </c>
      <c r="C65" s="11" t="inlineStr">
        <is>
          <t>No catálogo</t>
        </is>
      </c>
      <c r="D65" s="11" t="inlineStr">
        <is>
          <t>Chaveiros, Mouse Pad e Kit Executivo</t>
        </is>
      </c>
      <c r="E65" s="12" t="n">
        <v>27</v>
      </c>
      <c r="F65" s="13" t="n">
        <v>20</v>
      </c>
      <c r="G65" s="14" t="n">
        <v>67.5</v>
      </c>
      <c r="H65" s="13" t="n">
        <v>50</v>
      </c>
      <c r="I65" s="14" t="n">
        <v>59.4</v>
      </c>
      <c r="J65" s="13" t="n">
        <v>100</v>
      </c>
      <c r="K65" s="14" t="n">
        <v>54</v>
      </c>
      <c r="L65" s="16">
        <f>IFERROR(G65/$E65,"")</f>
        <v/>
      </c>
      <c r="M65" s="16">
        <f>IFERROR(I65/$E65,"")</f>
        <v/>
      </c>
      <c r="N65" s="16">
        <f>IFERROR(K65/$E65,"")</f>
        <v/>
      </c>
    </row>
    <row r="66">
      <c r="A66" s="9" t="inlineStr">
        <is>
          <t>19029</t>
        </is>
      </c>
      <c r="B66" s="10" t="inlineStr">
        <is>
          <t>Kit Executivo 2 Peças</t>
        </is>
      </c>
      <c r="C66" s="11" t="inlineStr">
        <is>
          <t>No catálogo</t>
        </is>
      </c>
      <c r="D66" s="11" t="inlineStr">
        <is>
          <t>Chaveiros, Mouse Pad e Kit Executivo</t>
        </is>
      </c>
      <c r="E66" s="12" t="n">
        <v>10.9</v>
      </c>
      <c r="F66" s="13" t="n">
        <v>20</v>
      </c>
      <c r="G66" s="14" t="n">
        <v>27.25</v>
      </c>
      <c r="H66" s="13" t="n">
        <v>50</v>
      </c>
      <c r="I66" s="14" t="n">
        <v>23.98</v>
      </c>
      <c r="J66" s="13" t="n">
        <v>100</v>
      </c>
      <c r="K66" s="14" t="n">
        <v>21.8</v>
      </c>
      <c r="L66" s="16">
        <f>IFERROR(G66/$E66,"")</f>
        <v/>
      </c>
      <c r="M66" s="16">
        <f>IFERROR(I66/$E66,"")</f>
        <v/>
      </c>
      <c r="N66" s="16">
        <f>IFERROR(K66/$E66,"")</f>
        <v/>
      </c>
    </row>
    <row r="67">
      <c r="A67" s="9" t="inlineStr">
        <is>
          <t>04362</t>
        </is>
      </c>
      <c r="B67" s="10" t="inlineStr">
        <is>
          <t>Caixa De Som Multimídia</t>
        </is>
      </c>
      <c r="C67" s="11" t="inlineStr">
        <is>
          <t>No catálogo</t>
        </is>
      </c>
      <c r="D67" s="11" t="inlineStr">
        <is>
          <t>Som, Fones e Power Bank</t>
        </is>
      </c>
      <c r="E67" s="12" t="n">
        <v>44.9</v>
      </c>
      <c r="F67" s="13" t="n">
        <v>20</v>
      </c>
      <c r="G67" s="14" t="n">
        <v>112.25</v>
      </c>
      <c r="H67" s="13" t="n">
        <v>50</v>
      </c>
      <c r="I67" s="14" t="n">
        <v>98.78</v>
      </c>
      <c r="J67" s="13" t="n">
        <v>100</v>
      </c>
      <c r="K67" s="14" t="n">
        <v>89.8</v>
      </c>
      <c r="L67" s="16">
        <f>IFERROR(G67/$E67,"")</f>
        <v/>
      </c>
      <c r="M67" s="16">
        <f>IFERROR(I67/$E67,"")</f>
        <v/>
      </c>
      <c r="N67" s="16">
        <f>IFERROR(K67/$E67,"")</f>
        <v/>
      </c>
    </row>
    <row r="68">
      <c r="A68" s="9" t="inlineStr">
        <is>
          <t>08002</t>
        </is>
      </c>
      <c r="B68" s="10" t="inlineStr">
        <is>
          <t>Caixa De Som Bluetooth Tws</t>
        </is>
      </c>
      <c r="C68" s="11" t="inlineStr">
        <is>
          <t>No catálogo</t>
        </is>
      </c>
      <c r="D68" s="11" t="inlineStr">
        <is>
          <t>Som, Fones e Power Bank</t>
        </is>
      </c>
      <c r="E68" s="12" t="n">
        <v>16.9</v>
      </c>
      <c r="F68" s="13" t="n">
        <v>20</v>
      </c>
      <c r="G68" s="14" t="n">
        <v>42.25</v>
      </c>
      <c r="H68" s="13" t="n">
        <v>50</v>
      </c>
      <c r="I68" s="14" t="n">
        <v>37.18</v>
      </c>
      <c r="J68" s="13" t="n">
        <v>100</v>
      </c>
      <c r="K68" s="14" t="n">
        <v>33.8</v>
      </c>
      <c r="L68" s="16">
        <f>IFERROR(G68/$E68,"")</f>
        <v/>
      </c>
      <c r="M68" s="16">
        <f>IFERROR(I68/$E68,"")</f>
        <v/>
      </c>
      <c r="N68" s="16">
        <f>IFERROR(K68/$E68,"")</f>
        <v/>
      </c>
    </row>
    <row r="69">
      <c r="A69" s="9" t="inlineStr">
        <is>
          <t>12789</t>
        </is>
      </c>
      <c r="B69" s="10" t="inlineStr">
        <is>
          <t>Fone De Ouvido C/ Microfone -Bco/Bco</t>
        </is>
      </c>
      <c r="C69" s="11" t="inlineStr">
        <is>
          <t>No catálogo</t>
        </is>
      </c>
      <c r="D69" s="11" t="inlineStr">
        <is>
          <t>Som, Fones e Power Bank</t>
        </is>
      </c>
      <c r="E69" s="12" t="n">
        <v>4.99</v>
      </c>
      <c r="F69" s="13" t="n">
        <v>20</v>
      </c>
      <c r="G69" s="14" t="n">
        <v>12.48</v>
      </c>
      <c r="H69" s="13" t="n">
        <v>50</v>
      </c>
      <c r="I69" s="14" t="n">
        <v>10.98</v>
      </c>
      <c r="J69" s="13" t="n">
        <v>100</v>
      </c>
      <c r="K69" s="14" t="n">
        <v>9.98</v>
      </c>
      <c r="L69" s="16">
        <f>IFERROR(G69/$E69,"")</f>
        <v/>
      </c>
      <c r="M69" s="16">
        <f>IFERROR(I69/$E69,"")</f>
        <v/>
      </c>
      <c r="N69" s="16">
        <f>IFERROR(K69/$E69,"")</f>
        <v/>
      </c>
    </row>
    <row r="70">
      <c r="A70" s="9" t="inlineStr">
        <is>
          <t>06064</t>
        </is>
      </c>
      <c r="B70" s="10" t="inlineStr">
        <is>
          <t>Fone De Ouvido Bluetooth Touch Com Case Carregador</t>
        </is>
      </c>
      <c r="C70" s="11" t="inlineStr">
        <is>
          <t>No catálogo</t>
        </is>
      </c>
      <c r="D70" s="11" t="inlineStr">
        <is>
          <t>Som, Fones e Power Bank</t>
        </is>
      </c>
      <c r="E70" s="12" t="n">
        <v>21.9</v>
      </c>
      <c r="F70" s="13" t="n">
        <v>20</v>
      </c>
      <c r="G70" s="14" t="n">
        <v>54.75</v>
      </c>
      <c r="H70" s="13" t="n">
        <v>50</v>
      </c>
      <c r="I70" s="14" t="n">
        <v>48.18</v>
      </c>
      <c r="J70" s="13" t="n">
        <v>100</v>
      </c>
      <c r="K70" s="14" t="n">
        <v>43.8</v>
      </c>
      <c r="L70" s="16">
        <f>IFERROR(G70/$E70,"")</f>
        <v/>
      </c>
      <c r="M70" s="16">
        <f>IFERROR(I70/$E70,"")</f>
        <v/>
      </c>
      <c r="N70" s="16">
        <f>IFERROR(K70/$E70,"")</f>
        <v/>
      </c>
    </row>
    <row r="71">
      <c r="A71" s="9" t="inlineStr">
        <is>
          <t>05048</t>
        </is>
      </c>
      <c r="B71" s="10" t="inlineStr">
        <is>
          <t>Fone De Ouvido Bluetooth</t>
        </is>
      </c>
      <c r="C71" s="11" t="inlineStr">
        <is>
          <t>No catálogo</t>
        </is>
      </c>
      <c r="D71" s="11" t="inlineStr">
        <is>
          <t>Som, Fones e Power Bank</t>
        </is>
      </c>
      <c r="E71" s="12" t="n">
        <v>19.9</v>
      </c>
      <c r="F71" s="13" t="n">
        <v>20</v>
      </c>
      <c r="G71" s="14" t="n">
        <v>49.75</v>
      </c>
      <c r="H71" s="13" t="n">
        <v>50</v>
      </c>
      <c r="I71" s="14" t="n">
        <v>43.78</v>
      </c>
      <c r="J71" s="13" t="n">
        <v>100</v>
      </c>
      <c r="K71" s="14" t="n">
        <v>39.8</v>
      </c>
      <c r="L71" s="16">
        <f>IFERROR(G71/$E71,"")</f>
        <v/>
      </c>
      <c r="M71" s="16">
        <f>IFERROR(I71/$E71,"")</f>
        <v/>
      </c>
      <c r="N71" s="16">
        <f>IFERROR(K71/$E71,"")</f>
        <v/>
      </c>
    </row>
    <row r="72">
      <c r="A72" s="9" t="inlineStr">
        <is>
          <t>09145</t>
        </is>
      </c>
      <c r="B72" s="10" t="inlineStr">
        <is>
          <t>Power Bank 10.000Mah Com Carregamento Via Indução Ou Via Cabo</t>
        </is>
      </c>
      <c r="C72" s="11" t="inlineStr">
        <is>
          <t>No catálogo</t>
        </is>
      </c>
      <c r="D72" s="11" t="inlineStr">
        <is>
          <t>Som, Fones e Power Bank</t>
        </is>
      </c>
      <c r="E72" s="12" t="n">
        <v>54.9</v>
      </c>
      <c r="F72" s="13" t="n">
        <v>20</v>
      </c>
      <c r="G72" s="14" t="n">
        <v>137.25</v>
      </c>
      <c r="H72" s="13" t="n">
        <v>50</v>
      </c>
      <c r="I72" s="14" t="n">
        <v>120.78</v>
      </c>
      <c r="J72" s="13" t="n">
        <v>100</v>
      </c>
      <c r="K72" s="14" t="n">
        <v>109.8</v>
      </c>
      <c r="L72" s="16">
        <f>IFERROR(G72/$E72,"")</f>
        <v/>
      </c>
      <c r="M72" s="16">
        <f>IFERROR(I72/$E72,"")</f>
        <v/>
      </c>
      <c r="N72" s="16">
        <f>IFERROR(K72/$E72,"")</f>
        <v/>
      </c>
    </row>
    <row r="73">
      <c r="A73" s="9" t="inlineStr">
        <is>
          <t>08188</t>
        </is>
      </c>
      <c r="B73" s="10" t="inlineStr">
        <is>
          <t>Power Bank 10.000Mah Com Indicador Led</t>
        </is>
      </c>
      <c r="C73" s="11" t="inlineStr">
        <is>
          <t>No catálogo</t>
        </is>
      </c>
      <c r="D73" s="11" t="inlineStr">
        <is>
          <t>Som, Fones e Power Bank</t>
        </is>
      </c>
      <c r="E73" s="12" t="n">
        <v>54.9</v>
      </c>
      <c r="F73" s="13" t="n">
        <v>20</v>
      </c>
      <c r="G73" s="14" t="n">
        <v>137.9</v>
      </c>
      <c r="H73" s="13" t="n">
        <v>50</v>
      </c>
      <c r="I73" s="14" t="n">
        <v>121.35</v>
      </c>
      <c r="J73" s="13" t="n">
        <v>100</v>
      </c>
      <c r="K73" s="14" t="n">
        <v>110.32</v>
      </c>
      <c r="L73" s="16">
        <f>IFERROR(G73/$E73,"")</f>
        <v/>
      </c>
      <c r="M73" s="16">
        <f>IFERROR(I73/$E73,"")</f>
        <v/>
      </c>
      <c r="N73" s="16">
        <f>IFERROR(K73/$E73,"")</f>
        <v/>
      </c>
    </row>
    <row r="74">
      <c r="A74" s="9" t="inlineStr">
        <is>
          <t>18537G</t>
        </is>
      </c>
      <c r="B74" s="10" t="inlineStr">
        <is>
          <t>Sacola Em Tnt Revestida C/ Plastico</t>
        </is>
      </c>
      <c r="C74" s="11" t="inlineStr">
        <is>
          <t>No catálogo</t>
        </is>
      </c>
      <c r="D74" s="11" t="inlineStr">
        <is>
          <t>Sacolas de Algodão e TNT</t>
        </is>
      </c>
      <c r="E74" s="12" t="n">
        <v>4.5</v>
      </c>
      <c r="F74" s="13" t="n">
        <v>100</v>
      </c>
      <c r="G74" s="14" t="n">
        <v>11.25</v>
      </c>
      <c r="H74" s="13" t="n">
        <v>200</v>
      </c>
      <c r="I74" s="14" t="n">
        <v>9.9</v>
      </c>
      <c r="J74" s="13" t="n">
        <v>1000</v>
      </c>
      <c r="K74" s="14" t="n">
        <v>9</v>
      </c>
      <c r="L74" s="16">
        <f>IFERROR(G74/$E74,"")</f>
        <v/>
      </c>
      <c r="M74" s="16">
        <f>IFERROR(I74/$E74,"")</f>
        <v/>
      </c>
      <c r="N74" s="16">
        <f>IFERROR(K74/$E74,"")</f>
        <v/>
      </c>
    </row>
    <row r="75">
      <c r="A75" s="9" t="inlineStr">
        <is>
          <t>13780</t>
        </is>
      </c>
      <c r="B75" s="10" t="inlineStr">
        <is>
          <t>Sacola Tnt Com Alça</t>
        </is>
      </c>
      <c r="C75" s="11" t="inlineStr">
        <is>
          <t>No catálogo</t>
        </is>
      </c>
      <c r="D75" s="11" t="inlineStr">
        <is>
          <t>Sacolas de Algodão e TNT</t>
        </is>
      </c>
      <c r="E75" s="12" t="n">
        <v>1.7</v>
      </c>
      <c r="F75" s="13" t="n">
        <v>100</v>
      </c>
      <c r="G75" s="14" t="n">
        <v>4.25</v>
      </c>
      <c r="H75" s="13" t="n">
        <v>200</v>
      </c>
      <c r="I75" s="14" t="n">
        <v>3.74</v>
      </c>
      <c r="J75" s="13" t="n">
        <v>1000</v>
      </c>
      <c r="K75" s="14" t="n">
        <v>3.4</v>
      </c>
      <c r="L75" s="16">
        <f>IFERROR(G75/$E75,"")</f>
        <v/>
      </c>
      <c r="M75" s="16">
        <f>IFERROR(I75/$E75,"")</f>
        <v/>
      </c>
      <c r="N75" s="16">
        <f>IFERROR(K75/$E75,"")</f>
        <v/>
      </c>
    </row>
    <row r="76">
      <c r="A76" s="9" t="inlineStr">
        <is>
          <t>13803N</t>
        </is>
      </c>
      <c r="B76" s="10" t="inlineStr">
        <is>
          <t>Sacola De Algodão</t>
        </is>
      </c>
      <c r="C76" s="11" t="inlineStr">
        <is>
          <t>No catálogo</t>
        </is>
      </c>
      <c r="D76" s="11" t="inlineStr">
        <is>
          <t>Sacolas de Algodão e TNT</t>
        </is>
      </c>
      <c r="E76" s="12" t="n">
        <v>5.1</v>
      </c>
      <c r="F76" s="13" t="n">
        <v>100</v>
      </c>
      <c r="G76" s="14" t="n">
        <v>12.75</v>
      </c>
      <c r="H76" s="13" t="n">
        <v>200</v>
      </c>
      <c r="I76" s="14" t="n">
        <v>11.22</v>
      </c>
      <c r="J76" s="13" t="n">
        <v>1000</v>
      </c>
      <c r="K76" s="14" t="n">
        <v>10.2</v>
      </c>
      <c r="L76" s="16">
        <f>IFERROR(G76/$E76,"")</f>
        <v/>
      </c>
      <c r="M76" s="16">
        <f>IFERROR(I76/$E76,"")</f>
        <v/>
      </c>
      <c r="N76" s="16">
        <f>IFERROR(K76/$E76,"")</f>
        <v/>
      </c>
    </row>
    <row r="77">
      <c r="A77" s="9" t="inlineStr">
        <is>
          <t>18537P</t>
        </is>
      </c>
      <c r="B77" s="10" t="inlineStr">
        <is>
          <t>Sacola Em Tnt Revestida C/ Plastico</t>
        </is>
      </c>
      <c r="C77" s="11" t="inlineStr">
        <is>
          <t>No catálogo</t>
        </is>
      </c>
      <c r="D77" s="11" t="inlineStr">
        <is>
          <t>Sacolas de Algodão e TNT</t>
        </is>
      </c>
      <c r="E77" s="12" t="n">
        <v>3.9</v>
      </c>
      <c r="F77" s="13" t="n">
        <v>100</v>
      </c>
      <c r="G77" s="14" t="n">
        <v>9.75</v>
      </c>
      <c r="H77" s="13" t="n">
        <v>200</v>
      </c>
      <c r="I77" s="14" t="n">
        <v>8.58</v>
      </c>
      <c r="J77" s="13" t="n">
        <v>1000</v>
      </c>
      <c r="K77" s="14" t="n">
        <v>7.8</v>
      </c>
      <c r="L77" s="16">
        <f>IFERROR(G77/$E77,"")</f>
        <v/>
      </c>
      <c r="M77" s="16">
        <f>IFERROR(I77/$E77,"")</f>
        <v/>
      </c>
      <c r="N77" s="16">
        <f>IFERROR(K77/$E77,"")</f>
        <v/>
      </c>
    </row>
    <row r="78">
      <c r="A78" s="9" t="inlineStr">
        <is>
          <t>13781N</t>
        </is>
      </c>
      <c r="B78" s="10" t="inlineStr">
        <is>
          <t>Sacola De Tnt</t>
        </is>
      </c>
      <c r="C78" s="11" t="inlineStr">
        <is>
          <t>No catálogo</t>
        </is>
      </c>
      <c r="D78" s="11" t="inlineStr">
        <is>
          <t>Sacolas de Algodão e TNT</t>
        </is>
      </c>
      <c r="E78" s="12" t="n">
        <v>1.15</v>
      </c>
      <c r="F78" s="13" t="n">
        <v>100</v>
      </c>
      <c r="G78" s="14" t="n">
        <v>2.88</v>
      </c>
      <c r="H78" s="13" t="n">
        <v>200</v>
      </c>
      <c r="I78" s="14" t="n">
        <v>2.53</v>
      </c>
      <c r="J78" s="13" t="n">
        <v>1000</v>
      </c>
      <c r="K78" s="14" t="n">
        <v>2.3</v>
      </c>
      <c r="L78" s="16">
        <f>IFERROR(G78/$E78,"")</f>
        <v/>
      </c>
      <c r="M78" s="16">
        <f>IFERROR(I78/$E78,"")</f>
        <v/>
      </c>
      <c r="N78" s="16">
        <f>IFERROR(K78/$E78,"")</f>
        <v/>
      </c>
    </row>
    <row r="79">
      <c r="A79" s="9" t="inlineStr">
        <is>
          <t>04399</t>
        </is>
      </c>
      <c r="B79" s="10" t="inlineStr">
        <is>
          <t>Sacola De Algodão</t>
        </is>
      </c>
      <c r="C79" s="11" t="inlineStr">
        <is>
          <t>No catálogo</t>
        </is>
      </c>
      <c r="D79" s="11" t="inlineStr">
        <is>
          <t>Sacolas de Algodão e TNT</t>
        </is>
      </c>
      <c r="E79" s="12" t="n">
        <v>7.2</v>
      </c>
      <c r="F79" s="13" t="n">
        <v>100</v>
      </c>
      <c r="G79" s="14" t="n">
        <v>18</v>
      </c>
      <c r="H79" s="13" t="n">
        <v>200</v>
      </c>
      <c r="I79" s="14" t="n">
        <v>15.84</v>
      </c>
      <c r="J79" s="13" t="n">
        <v>1000</v>
      </c>
      <c r="K79" s="14" t="n">
        <v>14.4</v>
      </c>
      <c r="L79" s="16">
        <f>IFERROR(G79/$E79,"")</f>
        <v/>
      </c>
      <c r="M79" s="16">
        <f>IFERROR(I79/$E79,"")</f>
        <v/>
      </c>
      <c r="N79" s="16">
        <f>IFERROR(K79/$E79,"")</f>
        <v/>
      </c>
    </row>
    <row r="80">
      <c r="A80" s="9" t="inlineStr">
        <is>
          <t>07447</t>
        </is>
      </c>
      <c r="B80" s="10" t="inlineStr">
        <is>
          <t>Kit Churrasco No Estojo C/ 2 Pçs</t>
        </is>
      </c>
      <c r="C80" s="11" t="inlineStr">
        <is>
          <t>No catálogo</t>
        </is>
      </c>
      <c r="D80" s="11" t="inlineStr">
        <is>
          <t>Kit Churrasco e Kit Vinho</t>
        </is>
      </c>
      <c r="E80" s="12" t="n">
        <v>16.4</v>
      </c>
      <c r="F80" s="13" t="n">
        <v>20</v>
      </c>
      <c r="G80" s="14" t="n">
        <v>42.25</v>
      </c>
      <c r="H80" s="13" t="n">
        <v>50</v>
      </c>
      <c r="I80" s="14" t="n">
        <v>37.18</v>
      </c>
      <c r="J80" s="13" t="n">
        <v>100</v>
      </c>
      <c r="K80" s="14" t="n">
        <v>33.8</v>
      </c>
      <c r="L80" s="15">
        <f>IFERROR(G80/$E80,"")</f>
        <v/>
      </c>
      <c r="M80" s="16">
        <f>IFERROR(I80/$E80,"")</f>
        <v/>
      </c>
      <c r="N80" s="16">
        <f>IFERROR(K80/$E80,"")</f>
        <v/>
      </c>
    </row>
    <row r="81">
      <c r="A81" s="9" t="inlineStr">
        <is>
          <t>01644</t>
        </is>
      </c>
      <c r="B81" s="10" t="inlineStr">
        <is>
          <t>Kit Churrasco Na Maleta 4 Peças</t>
        </is>
      </c>
      <c r="C81" s="11" t="inlineStr">
        <is>
          <t>No catálogo</t>
        </is>
      </c>
      <c r="D81" s="11" t="inlineStr">
        <is>
          <t>Kit Churrasco e Kit Vinho</t>
        </is>
      </c>
      <c r="E81" s="12" t="n">
        <v>55</v>
      </c>
      <c r="F81" s="13" t="n">
        <v>20</v>
      </c>
      <c r="G81" s="14" t="n">
        <v>137.5</v>
      </c>
      <c r="H81" s="13" t="n">
        <v>50</v>
      </c>
      <c r="I81" s="14" t="n">
        <v>121</v>
      </c>
      <c r="J81" s="13" t="n">
        <v>100</v>
      </c>
      <c r="K81" s="14" t="n">
        <v>110</v>
      </c>
      <c r="L81" s="16">
        <f>IFERROR(G81/$E81,"")</f>
        <v/>
      </c>
      <c r="M81" s="16">
        <f>IFERROR(I81/$E81,"")</f>
        <v/>
      </c>
      <c r="N81" s="16">
        <f>IFERROR(K81/$E81,"")</f>
        <v/>
      </c>
    </row>
    <row r="82">
      <c r="A82" s="9" t="inlineStr">
        <is>
          <t>18891</t>
        </is>
      </c>
      <c r="B82" s="10" t="inlineStr">
        <is>
          <t>Kit Churrasco 3 Peças</t>
        </is>
      </c>
      <c r="C82" s="11" t="inlineStr">
        <is>
          <t>No catálogo</t>
        </is>
      </c>
      <c r="D82" s="11" t="inlineStr">
        <is>
          <t>Kit Churrasco e Kit Vinho</t>
        </is>
      </c>
      <c r="E82" s="12" t="n">
        <v>29.9</v>
      </c>
      <c r="F82" s="13" t="n">
        <v>20</v>
      </c>
      <c r="G82" s="14" t="n">
        <v>74.75</v>
      </c>
      <c r="H82" s="13" t="n">
        <v>50</v>
      </c>
      <c r="I82" s="14" t="n">
        <v>65.78</v>
      </c>
      <c r="J82" s="13" t="n">
        <v>100</v>
      </c>
      <c r="K82" s="14" t="n">
        <v>59.8</v>
      </c>
      <c r="L82" s="16">
        <f>IFERROR(G82/$E82,"")</f>
        <v/>
      </c>
      <c r="M82" s="16">
        <f>IFERROR(I82/$E82,"")</f>
        <v/>
      </c>
      <c r="N82" s="16">
        <f>IFERROR(K82/$E82,"")</f>
        <v/>
      </c>
    </row>
    <row r="83">
      <c r="A83" s="9" t="inlineStr">
        <is>
          <t>18621</t>
        </is>
      </c>
      <c r="B83" s="10" t="inlineStr">
        <is>
          <t>Saca Rolhas</t>
        </is>
      </c>
      <c r="C83" s="11" t="inlineStr">
        <is>
          <t>No catálogo</t>
        </is>
      </c>
      <c r="D83" s="11" t="inlineStr">
        <is>
          <t>Kit Churrasco e Kit Vinho</t>
        </is>
      </c>
      <c r="E83" s="12" t="n">
        <v>3.75</v>
      </c>
      <c r="F83" s="13" t="n">
        <v>20</v>
      </c>
      <c r="G83" s="14" t="n">
        <v>9.75</v>
      </c>
      <c r="H83" s="13" t="n">
        <v>50</v>
      </c>
      <c r="I83" s="14" t="n">
        <v>8.58</v>
      </c>
      <c r="J83" s="13" t="n">
        <v>100</v>
      </c>
      <c r="K83" s="14" t="n">
        <v>7.8</v>
      </c>
      <c r="L83" s="15">
        <f>IFERROR(G83/$E83,"")</f>
        <v/>
      </c>
      <c r="M83" s="16">
        <f>IFERROR(I83/$E83,"")</f>
        <v/>
      </c>
      <c r="N83" s="16">
        <f>IFERROR(K83/$E83,"")</f>
        <v/>
      </c>
    </row>
    <row r="84">
      <c r="A84" s="9" t="inlineStr">
        <is>
          <t>10071G</t>
        </is>
      </c>
      <c r="B84" s="10" t="inlineStr">
        <is>
          <t>Kit Vinho Caixa De Papelão 2 Peças</t>
        </is>
      </c>
      <c r="C84" s="11" t="inlineStr">
        <is>
          <t>No catálogo</t>
        </is>
      </c>
      <c r="D84" s="11" t="inlineStr">
        <is>
          <t>Kit Churrasco e Kit Vinho</t>
        </is>
      </c>
      <c r="E84" s="12" t="n">
        <v>13.5</v>
      </c>
      <c r="F84" s="13" t="n">
        <v>20</v>
      </c>
      <c r="G84" s="14" t="n">
        <v>33.75</v>
      </c>
      <c r="H84" s="13" t="n">
        <v>50</v>
      </c>
      <c r="I84" s="14" t="n">
        <v>29.7</v>
      </c>
      <c r="J84" s="13" t="n">
        <v>100</v>
      </c>
      <c r="K84" s="14" t="n">
        <v>27</v>
      </c>
      <c r="L84" s="16">
        <f>IFERROR(G84/$E84,"")</f>
        <v/>
      </c>
      <c r="M84" s="16">
        <f>IFERROR(I84/$E84,"")</f>
        <v/>
      </c>
      <c r="N84" s="16">
        <f>IFERROR(K84/$E84,"")</f>
        <v/>
      </c>
    </row>
    <row r="85">
      <c r="A85" s="9" t="inlineStr">
        <is>
          <t>03493</t>
        </is>
      </c>
      <c r="B85" s="10" t="inlineStr">
        <is>
          <t>Kit Vinho P/ 1 Garrafa</t>
        </is>
      </c>
      <c r="C85" s="11" t="inlineStr">
        <is>
          <t>No catálogo</t>
        </is>
      </c>
      <c r="D85" s="11" t="inlineStr">
        <is>
          <t>Kit Churrasco e Kit Vinho</t>
        </is>
      </c>
      <c r="E85" s="12" t="n">
        <v>37.8</v>
      </c>
      <c r="F85" s="13" t="n">
        <v>20</v>
      </c>
      <c r="G85" s="14" t="n">
        <v>94.5</v>
      </c>
      <c r="H85" s="13" t="n">
        <v>50</v>
      </c>
      <c r="I85" s="14" t="n">
        <v>83.16</v>
      </c>
      <c r="J85" s="13" t="n">
        <v>100</v>
      </c>
      <c r="K85" s="14" t="n">
        <v>75.59999999999999</v>
      </c>
      <c r="L85" s="16">
        <f>IFERROR(G85/$E85,"")</f>
        <v/>
      </c>
      <c r="M85" s="16">
        <f>IFERROR(I85/$E85,"")</f>
        <v/>
      </c>
      <c r="N85" s="16">
        <f>IFERROR(K85/$E85,"")</f>
        <v/>
      </c>
    </row>
    <row r="86">
      <c r="A86" s="9" t="inlineStr">
        <is>
          <t>11870</t>
        </is>
      </c>
      <c r="B86" s="10" t="inlineStr">
        <is>
          <t>Kit Vinho 5Pçs Formato Garrafa</t>
        </is>
      </c>
      <c r="C86" s="11" t="inlineStr">
        <is>
          <t>No catálogo</t>
        </is>
      </c>
      <c r="D86" s="11" t="inlineStr">
        <is>
          <t>Kit Churrasco e Kit Vinho</t>
        </is>
      </c>
      <c r="E86" s="12" t="n">
        <v>24.9</v>
      </c>
      <c r="F86" s="13" t="n">
        <v>20</v>
      </c>
      <c r="G86" s="14" t="n">
        <v>62.25</v>
      </c>
      <c r="H86" s="13" t="n">
        <v>50</v>
      </c>
      <c r="I86" s="14" t="n">
        <v>54.78</v>
      </c>
      <c r="J86" s="13" t="n">
        <v>100</v>
      </c>
      <c r="K86" s="14" t="n">
        <v>49.8</v>
      </c>
      <c r="L86" s="16">
        <f>IFERROR(G86/$E86,"")</f>
        <v/>
      </c>
      <c r="M86" s="16">
        <f>IFERROR(I86/$E86,"")</f>
        <v/>
      </c>
      <c r="N86" s="16">
        <f>IFERROR(K86/$E86,"")</f>
        <v/>
      </c>
    </row>
    <row r="87">
      <c r="A87" s="9" t="inlineStr">
        <is>
          <t>10695</t>
        </is>
      </c>
      <c r="B87" s="10" t="inlineStr">
        <is>
          <t>Saca Rolhas Metálico</t>
        </is>
      </c>
      <c r="C87" s="11" t="inlineStr">
        <is>
          <t>No catálogo</t>
        </is>
      </c>
      <c r="D87" s="11" t="inlineStr">
        <is>
          <t>Kit Churrasco e Kit Vinho</t>
        </is>
      </c>
      <c r="E87" s="12" t="n">
        <v>4.2</v>
      </c>
      <c r="F87" s="13" t="n">
        <v>20</v>
      </c>
      <c r="G87" s="14" t="n">
        <v>10.5</v>
      </c>
      <c r="H87" s="13" t="n">
        <v>50</v>
      </c>
      <c r="I87" s="14" t="n">
        <v>9.24</v>
      </c>
      <c r="J87" s="13" t="n">
        <v>100</v>
      </c>
      <c r="K87" s="14" t="n">
        <v>8.4</v>
      </c>
      <c r="L87" s="16">
        <f>IFERROR(G87/$E87,"")</f>
        <v/>
      </c>
      <c r="M87" s="16">
        <f>IFERROR(I87/$E87,"")</f>
        <v/>
      </c>
      <c r="N87" s="16">
        <f>IFERROR(K87/$E87,"")</f>
        <v/>
      </c>
    </row>
    <row r="88">
      <c r="A88" s="9" t="inlineStr">
        <is>
          <t>18857</t>
        </is>
      </c>
      <c r="B88" s="10" t="inlineStr">
        <is>
          <t>Marmita Hermética De Palha De Trigo</t>
        </is>
      </c>
      <c r="C88" s="11" t="inlineStr">
        <is>
          <t>No catálogo</t>
        </is>
      </c>
      <c r="D88" s="11" t="inlineStr">
        <is>
          <t>Marmitas e Tábuas</t>
        </is>
      </c>
      <c r="E88" s="12" t="n">
        <v>10.5</v>
      </c>
      <c r="F88" s="13" t="n">
        <v>20</v>
      </c>
      <c r="G88" s="14" t="n">
        <v>26.25</v>
      </c>
      <c r="H88" s="13" t="n">
        <v>50</v>
      </c>
      <c r="I88" s="14" t="n">
        <v>23.1</v>
      </c>
      <c r="J88" s="13" t="n">
        <v>100</v>
      </c>
      <c r="K88" s="14" t="n">
        <v>21</v>
      </c>
      <c r="L88" s="16">
        <f>IFERROR(G88/$E88,"")</f>
        <v/>
      </c>
      <c r="M88" s="16">
        <f>IFERROR(I88/$E88,"")</f>
        <v/>
      </c>
      <c r="N88" s="16">
        <f>IFERROR(K88/$E88,"")</f>
        <v/>
      </c>
    </row>
    <row r="89">
      <c r="A89" s="9" t="inlineStr">
        <is>
          <t>18858</t>
        </is>
      </c>
      <c r="B89" s="10" t="inlineStr">
        <is>
          <t>Marmita Hermética Plástica 1L</t>
        </is>
      </c>
      <c r="C89" s="11" t="inlineStr">
        <is>
          <t>No catálogo</t>
        </is>
      </c>
      <c r="D89" s="11" t="inlineStr">
        <is>
          <t>Marmitas e Tábuas</t>
        </is>
      </c>
      <c r="E89" s="12" t="n">
        <v>13.9</v>
      </c>
      <c r="F89" s="13" t="n">
        <v>20</v>
      </c>
      <c r="G89" s="14" t="n">
        <v>34.75</v>
      </c>
      <c r="H89" s="13" t="n">
        <v>50</v>
      </c>
      <c r="I89" s="14" t="n">
        <v>30.58</v>
      </c>
      <c r="J89" s="13" t="n">
        <v>100</v>
      </c>
      <c r="K89" s="14" t="n">
        <v>27.8</v>
      </c>
      <c r="L89" s="16">
        <f>IFERROR(G89/$E89,"")</f>
        <v/>
      </c>
      <c r="M89" s="16">
        <f>IFERROR(I89/$E89,"")</f>
        <v/>
      </c>
      <c r="N89" s="16">
        <f>IFERROR(K89/$E89,"")</f>
        <v/>
      </c>
    </row>
    <row r="90">
      <c r="A90" s="9" t="inlineStr">
        <is>
          <t>18629</t>
        </is>
      </c>
      <c r="B90" s="10" t="inlineStr">
        <is>
          <t>Kit Queijo 2 Peças + Tábua Redonda</t>
        </is>
      </c>
      <c r="C90" s="11" t="inlineStr">
        <is>
          <t>No catálogo</t>
        </is>
      </c>
      <c r="D90" s="11" t="inlineStr">
        <is>
          <t>Marmitas e Tábuas</t>
        </is>
      </c>
      <c r="E90" s="12" t="n">
        <v>31.2</v>
      </c>
      <c r="F90" s="13" t="n">
        <v>20</v>
      </c>
      <c r="G90" s="14" t="n">
        <v>78</v>
      </c>
      <c r="H90" s="13" t="n">
        <v>50</v>
      </c>
      <c r="I90" s="14" t="n">
        <v>68.64</v>
      </c>
      <c r="J90" s="13" t="n">
        <v>100</v>
      </c>
      <c r="K90" s="14" t="n">
        <v>62.4</v>
      </c>
      <c r="L90" s="16">
        <f>IFERROR(G90/$E90,"")</f>
        <v/>
      </c>
      <c r="M90" s="16">
        <f>IFERROR(I90/$E90,"")</f>
        <v/>
      </c>
      <c r="N90" s="16">
        <f>IFERROR(K90/$E90,"")</f>
        <v/>
      </c>
    </row>
    <row r="91">
      <c r="A91" s="9" t="inlineStr">
        <is>
          <t>02075</t>
        </is>
      </c>
      <c r="B91" s="10" t="inlineStr">
        <is>
          <t>Guarda-Chuva Automático</t>
        </is>
      </c>
      <c r="C91" s="11" t="inlineStr">
        <is>
          <t>No catálogo</t>
        </is>
      </c>
      <c r="D91" s="11" t="inlineStr">
        <is>
          <t>Guarda-Chuvas</t>
        </is>
      </c>
      <c r="E91" s="12" t="n">
        <v>13.5</v>
      </c>
      <c r="F91" s="13" t="n">
        <v>20</v>
      </c>
      <c r="G91" s="14" t="n">
        <v>33.75</v>
      </c>
      <c r="H91" s="13" t="n">
        <v>50</v>
      </c>
      <c r="I91" s="14" t="n">
        <v>29.7</v>
      </c>
      <c r="J91" s="13" t="n">
        <v>100</v>
      </c>
      <c r="K91" s="14" t="n">
        <v>27</v>
      </c>
      <c r="L91" s="16">
        <f>IFERROR(G91/$E91,"")</f>
        <v/>
      </c>
      <c r="M91" s="16">
        <f>IFERROR(I91/$E91,"")</f>
        <v/>
      </c>
      <c r="N91" s="16">
        <f>IFERROR(K91/$E91,"")</f>
        <v/>
      </c>
    </row>
    <row r="92">
      <c r="A92" s="9" t="inlineStr">
        <is>
          <t>05198</t>
        </is>
      </c>
      <c r="B92" s="10" t="inlineStr">
        <is>
          <t>Guarda-Chuva Manual</t>
        </is>
      </c>
      <c r="C92" s="11" t="inlineStr">
        <is>
          <t>No catálogo</t>
        </is>
      </c>
      <c r="D92" s="11" t="inlineStr">
        <is>
          <t>Guarda-Chuvas</t>
        </is>
      </c>
      <c r="E92" s="12" t="n">
        <v>9.9</v>
      </c>
      <c r="F92" s="13" t="n">
        <v>20</v>
      </c>
      <c r="G92" s="14" t="n">
        <v>24.75</v>
      </c>
      <c r="H92" s="13" t="n">
        <v>50</v>
      </c>
      <c r="I92" s="14" t="n">
        <v>21.78</v>
      </c>
      <c r="J92" s="13" t="n">
        <v>100</v>
      </c>
      <c r="K92" s="14" t="n">
        <v>19.8</v>
      </c>
      <c r="L92" s="16">
        <f>IFERROR(G92/$E92,"")</f>
        <v/>
      </c>
      <c r="M92" s="16">
        <f>IFERROR(I92/$E92,"")</f>
        <v/>
      </c>
      <c r="N92" s="16">
        <f>IFERROR(K92/$E92,"")</f>
        <v/>
      </c>
    </row>
    <row r="93">
      <c r="A93" s="9" t="inlineStr">
        <is>
          <t>02078</t>
        </is>
      </c>
      <c r="B93" s="10" t="inlineStr">
        <is>
          <t>Guarda-Chuva Invertido</t>
        </is>
      </c>
      <c r="C93" s="11" t="inlineStr">
        <is>
          <t>No catálogo</t>
        </is>
      </c>
      <c r="D93" s="11" t="inlineStr">
        <is>
          <t>Guarda-Chuvas</t>
        </is>
      </c>
      <c r="E93" s="12" t="n">
        <v>29.5</v>
      </c>
      <c r="F93" s="13" t="n">
        <v>20</v>
      </c>
      <c r="G93" s="14" t="n">
        <v>73.75</v>
      </c>
      <c r="H93" s="13" t="n">
        <v>50</v>
      </c>
      <c r="I93" s="14" t="n">
        <v>64.90000000000001</v>
      </c>
      <c r="J93" s="13" t="n">
        <v>100</v>
      </c>
      <c r="K93" s="14" t="n">
        <v>59</v>
      </c>
      <c r="L93" s="16">
        <f>IFERROR(G93/$E93,"")</f>
        <v/>
      </c>
      <c r="M93" s="16">
        <f>IFERROR(I93/$E93,"")</f>
        <v/>
      </c>
      <c r="N93" s="16">
        <f>IFERROR(K93/$E93,"")</f>
        <v/>
      </c>
    </row>
    <row r="94">
      <c r="A94" s="9" t="inlineStr">
        <is>
          <t>05045</t>
        </is>
      </c>
      <c r="B94" s="10" t="inlineStr">
        <is>
          <t>Guarda-Chuva Manual Com Proteção Uv</t>
        </is>
      </c>
      <c r="C94" s="11" t="inlineStr">
        <is>
          <t>No catálogo</t>
        </is>
      </c>
      <c r="D94" s="11" t="inlineStr">
        <is>
          <t>Guarda-Chuvas</t>
        </is>
      </c>
      <c r="E94" s="12" t="n">
        <v>20.3</v>
      </c>
      <c r="F94" s="13" t="n">
        <v>20</v>
      </c>
      <c r="G94" s="14" t="n">
        <v>50.75</v>
      </c>
      <c r="H94" s="13" t="n">
        <v>50</v>
      </c>
      <c r="I94" s="14" t="n">
        <v>44.66</v>
      </c>
      <c r="J94" s="13" t="n">
        <v>100</v>
      </c>
      <c r="K94" s="14" t="n">
        <v>40.6</v>
      </c>
      <c r="L94" s="16">
        <f>IFERROR(G94/$E94,"")</f>
        <v/>
      </c>
      <c r="M94" s="16">
        <f>IFERROR(I94/$E94,"")</f>
        <v/>
      </c>
      <c r="N94" s="16">
        <f>IFERROR(K94/$E94,"")</f>
        <v/>
      </c>
    </row>
    <row r="95">
      <c r="A95" s="9" t="inlineStr">
        <is>
          <t>06063</t>
        </is>
      </c>
      <c r="B95" s="10" t="inlineStr">
        <is>
          <t>Guarda-Chuva Automático c/ Proteção UV</t>
        </is>
      </c>
      <c r="C95" s="11" t="inlineStr">
        <is>
          <t>No catálogo</t>
        </is>
      </c>
      <c r="D95" s="11" t="inlineStr">
        <is>
          <t>Guarda-Chuvas</t>
        </is>
      </c>
      <c r="E95" s="12" t="n">
        <v>20.9</v>
      </c>
      <c r="F95" s="13" t="n">
        <v>20</v>
      </c>
      <c r="G95" s="14" t="n">
        <v>52.25</v>
      </c>
      <c r="H95" s="13" t="n">
        <v>50</v>
      </c>
      <c r="I95" s="14" t="n">
        <v>45.98</v>
      </c>
      <c r="J95" s="13" t="n">
        <v>100</v>
      </c>
      <c r="K95" s="14" t="n">
        <v>41.8</v>
      </c>
      <c r="L95" s="16">
        <f>IFERROR(G95/$E95,"")</f>
        <v/>
      </c>
      <c r="M95" s="16">
        <f>IFERROR(I95/$E95,"")</f>
        <v/>
      </c>
      <c r="N95" s="16">
        <f>IFERROR(K95/$E95,"")</f>
        <v/>
      </c>
    </row>
    <row r="96">
      <c r="A96" s="9" t="inlineStr">
        <is>
          <t>18962</t>
        </is>
      </c>
      <c r="B96" s="10" t="inlineStr">
        <is>
          <t>Mochila Térmica 18L</t>
        </is>
      </c>
      <c r="C96" s="11" t="inlineStr">
        <is>
          <t>No catálogo</t>
        </is>
      </c>
      <c r="D96" s="11" t="inlineStr">
        <is>
          <t>Mochilas, Bolsas e Malas</t>
        </is>
      </c>
      <c r="E96" s="12" t="n">
        <v>33.8</v>
      </c>
      <c r="F96" s="13" t="n">
        <v>20</v>
      </c>
      <c r="G96" s="14" t="n">
        <v>84.5</v>
      </c>
      <c r="H96" s="13" t="n">
        <v>50</v>
      </c>
      <c r="I96" s="14" t="n">
        <v>74.36</v>
      </c>
      <c r="J96" s="13" t="n">
        <v>100</v>
      </c>
      <c r="K96" s="14" t="n">
        <v>67.59999999999999</v>
      </c>
      <c r="L96" s="16">
        <f>IFERROR(G96/$E96,"")</f>
        <v/>
      </c>
      <c r="M96" s="16">
        <f>IFERROR(I96/$E96,"")</f>
        <v/>
      </c>
      <c r="N96" s="16">
        <f>IFERROR(K96/$E96,"")</f>
        <v/>
      </c>
    </row>
    <row r="97">
      <c r="A97" s="9" t="inlineStr">
        <is>
          <t>18967</t>
        </is>
      </c>
      <c r="B97" s="10" t="inlineStr">
        <is>
          <t>Bolsa Térmica 5L</t>
        </is>
      </c>
      <c r="C97" s="11" t="inlineStr">
        <is>
          <t>No catálogo</t>
        </is>
      </c>
      <c r="D97" s="11" t="inlineStr">
        <is>
          <t>Mochilas, Bolsas e Malas</t>
        </is>
      </c>
      <c r="E97" s="12" t="n">
        <v>6.9</v>
      </c>
      <c r="F97" s="13" t="n">
        <v>20</v>
      </c>
      <c r="G97" s="14" t="n">
        <v>17.25</v>
      </c>
      <c r="H97" s="13" t="n">
        <v>50</v>
      </c>
      <c r="I97" s="14" t="n">
        <v>15.18</v>
      </c>
      <c r="J97" s="13" t="n">
        <v>100</v>
      </c>
      <c r="K97" s="14" t="n">
        <v>13.8</v>
      </c>
      <c r="L97" s="16">
        <f>IFERROR(G97/$E97,"")</f>
        <v/>
      </c>
      <c r="M97" s="16">
        <f>IFERROR(I97/$E97,"")</f>
        <v/>
      </c>
      <c r="N97" s="16">
        <f>IFERROR(K97/$E97,"")</f>
        <v/>
      </c>
    </row>
    <row r="98">
      <c r="A98" s="9" t="inlineStr">
        <is>
          <t>04846</t>
        </is>
      </c>
      <c r="B98" s="10" t="inlineStr">
        <is>
          <t>Bolsa Térmica 7L</t>
        </is>
      </c>
      <c r="C98" s="11" t="inlineStr">
        <is>
          <t>No catálogo</t>
        </is>
      </c>
      <c r="D98" s="11" t="inlineStr">
        <is>
          <t>Mochilas, Bolsas e Malas</t>
        </is>
      </c>
      <c r="E98" s="12" t="n">
        <v>23.5</v>
      </c>
      <c r="F98" s="13" t="n">
        <v>20</v>
      </c>
      <c r="G98" s="14" t="n">
        <v>58.75</v>
      </c>
      <c r="H98" s="13" t="n">
        <v>50</v>
      </c>
      <c r="I98" s="14" t="n">
        <v>51.7</v>
      </c>
      <c r="J98" s="13" t="n">
        <v>100</v>
      </c>
      <c r="K98" s="14" t="n">
        <v>47</v>
      </c>
      <c r="L98" s="16">
        <f>IFERROR(G98/$E98,"")</f>
        <v/>
      </c>
      <c r="M98" s="16">
        <f>IFERROR(I98/$E98,"")</f>
        <v/>
      </c>
      <c r="N98" s="16">
        <f>IFERROR(K98/$E98,"")</f>
        <v/>
      </c>
    </row>
    <row r="99">
      <c r="A99" s="9" t="inlineStr">
        <is>
          <t>09150</t>
        </is>
      </c>
      <c r="B99" s="10" t="inlineStr">
        <is>
          <t>Bolsa Térmica 33 Litros</t>
        </is>
      </c>
      <c r="C99" s="11" t="inlineStr">
        <is>
          <t>No catálogo</t>
        </is>
      </c>
      <c r="D99" s="11" t="inlineStr">
        <is>
          <t>Mochilas, Bolsas e Malas</t>
        </is>
      </c>
      <c r="E99" s="12" t="n">
        <v>87.90000000000001</v>
      </c>
      <c r="F99" s="13" t="n">
        <v>20</v>
      </c>
      <c r="G99" s="14" t="n">
        <v>219.75</v>
      </c>
      <c r="H99" s="13" t="n">
        <v>50</v>
      </c>
      <c r="I99" s="14" t="n">
        <v>193.38</v>
      </c>
      <c r="J99" s="13" t="n">
        <v>100</v>
      </c>
      <c r="K99" s="14" t="n">
        <v>175.8</v>
      </c>
      <c r="L99" s="16">
        <f>IFERROR(G99/$E99,"")</f>
        <v/>
      </c>
      <c r="M99" s="16">
        <f>IFERROR(I99/$E99,"")</f>
        <v/>
      </c>
      <c r="N99" s="16">
        <f>IFERROR(K99/$E99,"")</f>
        <v/>
      </c>
    </row>
    <row r="100">
      <c r="A100" s="9" t="inlineStr">
        <is>
          <t>18961</t>
        </is>
      </c>
      <c r="B100" s="10" t="inlineStr">
        <is>
          <t>Bolsa Térmica 20 Litros</t>
        </is>
      </c>
      <c r="C100" s="11" t="inlineStr">
        <is>
          <t>No catálogo</t>
        </is>
      </c>
      <c r="D100" s="11" t="inlineStr">
        <is>
          <t>Mochilas, Bolsas e Malas</t>
        </is>
      </c>
      <c r="E100" s="12" t="n">
        <v>32.5</v>
      </c>
      <c r="F100" s="13" t="n">
        <v>20</v>
      </c>
      <c r="G100" s="14" t="n">
        <v>81.25</v>
      </c>
      <c r="H100" s="13" t="n">
        <v>50</v>
      </c>
      <c r="I100" s="14" t="n">
        <v>71.5</v>
      </c>
      <c r="J100" s="13" t="n">
        <v>100</v>
      </c>
      <c r="K100" s="14" t="n">
        <v>65</v>
      </c>
      <c r="L100" s="16">
        <f>IFERROR(G100/$E100,"")</f>
        <v/>
      </c>
      <c r="M100" s="16">
        <f>IFERROR(I100/$E100,"")</f>
        <v/>
      </c>
      <c r="N100" s="16">
        <f>IFERROR(K100/$E100,"")</f>
        <v/>
      </c>
    </row>
    <row r="101">
      <c r="A101" s="9" t="inlineStr">
        <is>
          <t>04098</t>
        </is>
      </c>
      <c r="B101" s="10" t="inlineStr">
        <is>
          <t>Garrafa Térmica 700Ml</t>
        </is>
      </c>
      <c r="C101" s="11" t="inlineStr">
        <is>
          <t>No catálogo</t>
        </is>
      </c>
      <c r="D101" s="11" t="inlineStr">
        <is>
          <t>Copos, Garrafas e Canecas</t>
        </is>
      </c>
      <c r="E101" s="12" t="n">
        <v>31.9</v>
      </c>
      <c r="F101" s="13" t="n">
        <v>20</v>
      </c>
      <c r="G101" s="14" t="n">
        <v>79.75</v>
      </c>
      <c r="H101" s="13" t="n">
        <v>50</v>
      </c>
      <c r="I101" s="14" t="n">
        <v>70.18000000000001</v>
      </c>
      <c r="J101" s="13" t="n">
        <v>100</v>
      </c>
      <c r="K101" s="14" t="n">
        <v>63.8</v>
      </c>
      <c r="L101" s="16">
        <f>IFERROR(G101/$E101,"")</f>
        <v/>
      </c>
      <c r="M101" s="16">
        <f>IFERROR(I101/$E101,"")</f>
        <v/>
      </c>
      <c r="N101" s="16">
        <f>IFERROR(K101/$E101,"")</f>
        <v/>
      </c>
    </row>
    <row r="102">
      <c r="A102" s="9" t="inlineStr">
        <is>
          <t>04014</t>
        </is>
      </c>
      <c r="B102" s="10" t="inlineStr">
        <is>
          <t>Copo Térmico</t>
        </is>
      </c>
      <c r="C102" s="11" t="inlineStr">
        <is>
          <t>No catálogo</t>
        </is>
      </c>
      <c r="D102" s="11" t="inlineStr">
        <is>
          <t>Copos, Garrafas e Canecas</t>
        </is>
      </c>
      <c r="E102" s="12" t="n">
        <v>24.5</v>
      </c>
      <c r="F102" s="13" t="n">
        <v>20</v>
      </c>
      <c r="G102" s="14" t="n">
        <v>61.25</v>
      </c>
      <c r="H102" s="13" t="n">
        <v>50</v>
      </c>
      <c r="I102" s="14" t="n">
        <v>53.9</v>
      </c>
      <c r="J102" s="13" t="n">
        <v>100</v>
      </c>
      <c r="K102" s="14" t="n">
        <v>49</v>
      </c>
      <c r="L102" s="16">
        <f>IFERROR(G102/$E102,"")</f>
        <v/>
      </c>
      <c r="M102" s="16">
        <f>IFERROR(I102/$E102,"")</f>
        <v/>
      </c>
      <c r="N102" s="16">
        <f>IFERROR(K102/$E102,"")</f>
        <v/>
      </c>
    </row>
    <row r="103">
      <c r="A103" s="9" t="inlineStr">
        <is>
          <t>14724</t>
        </is>
      </c>
      <c r="B103" s="10" t="inlineStr">
        <is>
          <t>Copo Térmico 500Ml P/ Café</t>
        </is>
      </c>
      <c r="C103" s="11" t="inlineStr">
        <is>
          <t>No catálogo</t>
        </is>
      </c>
      <c r="D103" s="11" t="inlineStr">
        <is>
          <t>Copos, Garrafas e Canecas</t>
        </is>
      </c>
      <c r="E103" s="12" t="n">
        <v>24.5</v>
      </c>
      <c r="F103" s="13" t="n">
        <v>20</v>
      </c>
      <c r="G103" s="14" t="n">
        <v>61.25</v>
      </c>
      <c r="H103" s="13" t="n">
        <v>50</v>
      </c>
      <c r="I103" s="14" t="n">
        <v>53.9</v>
      </c>
      <c r="J103" s="13" t="n">
        <v>100</v>
      </c>
      <c r="K103" s="14" t="n">
        <v>49</v>
      </c>
      <c r="L103" s="16">
        <f>IFERROR(G103/$E103,"")</f>
        <v/>
      </c>
      <c r="M103" s="16">
        <f>IFERROR(I103/$E103,"")</f>
        <v/>
      </c>
      <c r="N103" s="16">
        <f>IFERROR(K103/$E103,"")</f>
        <v/>
      </c>
    </row>
    <row r="104">
      <c r="A104" s="9" t="inlineStr">
        <is>
          <t>04081</t>
        </is>
      </c>
      <c r="B104" s="10" t="inlineStr">
        <is>
          <t>Caneca Termica 350Ml</t>
        </is>
      </c>
      <c r="C104" s="11" t="inlineStr">
        <is>
          <t>No catálogo</t>
        </is>
      </c>
      <c r="D104" s="11" t="inlineStr">
        <is>
          <t>Copos, Garrafas e Canecas</t>
        </is>
      </c>
      <c r="E104" s="12" t="n">
        <v>24.5</v>
      </c>
      <c r="F104" s="13" t="n">
        <v>20</v>
      </c>
      <c r="G104" s="14" t="n">
        <v>61.25</v>
      </c>
      <c r="H104" s="13" t="n">
        <v>50</v>
      </c>
      <c r="I104" s="14" t="n">
        <v>53.9</v>
      </c>
      <c r="J104" s="13" t="n">
        <v>100</v>
      </c>
      <c r="K104" s="14" t="n">
        <v>49</v>
      </c>
      <c r="L104" s="16">
        <f>IFERROR(G104/$E104,"")</f>
        <v/>
      </c>
      <c r="M104" s="16">
        <f>IFERROR(I104/$E104,"")</f>
        <v/>
      </c>
      <c r="N104" s="16">
        <f>IFERROR(K104/$E104,"")</f>
        <v/>
      </c>
    </row>
    <row r="105">
      <c r="A105" s="9" t="inlineStr">
        <is>
          <t>18587</t>
        </is>
      </c>
      <c r="B105" s="10" t="inlineStr">
        <is>
          <t>Tábua De Corte</t>
        </is>
      </c>
      <c r="C105" s="11" t="inlineStr">
        <is>
          <t>No catálogo</t>
        </is>
      </c>
      <c r="D105" s="11" t="inlineStr">
        <is>
          <t>Marmitas e Tábuas</t>
        </is>
      </c>
      <c r="E105" s="12" t="n">
        <v>11</v>
      </c>
      <c r="F105" s="13" t="n">
        <v>20</v>
      </c>
      <c r="G105" s="14" t="n">
        <v>27.5</v>
      </c>
      <c r="H105" s="13" t="n">
        <v>50</v>
      </c>
      <c r="I105" s="14" t="n">
        <v>24.2</v>
      </c>
      <c r="J105" s="13" t="n">
        <v>100</v>
      </c>
      <c r="K105" s="14" t="n">
        <v>22</v>
      </c>
      <c r="L105" s="16">
        <f>IFERROR(G105/$E105,"")</f>
        <v/>
      </c>
      <c r="M105" s="16">
        <f>IFERROR(I105/$E105,"")</f>
        <v/>
      </c>
      <c r="N105" s="16">
        <f>IFERROR(K105/$E105,"")</f>
        <v/>
      </c>
    </row>
    <row r="106">
      <c r="A106" s="9" t="inlineStr">
        <is>
          <t>18608</t>
        </is>
      </c>
      <c r="B106" s="10" t="inlineStr">
        <is>
          <t>Tábua P/ Corte C/ Canaleta 30*40Cm</t>
        </is>
      </c>
      <c r="C106" s="11" t="inlineStr">
        <is>
          <t>No catálogo</t>
        </is>
      </c>
      <c r="D106" s="11" t="inlineStr">
        <is>
          <t>Marmitas e Tábuas</t>
        </is>
      </c>
      <c r="E106" s="12" t="n">
        <v>21</v>
      </c>
      <c r="F106" s="13" t="n">
        <v>20</v>
      </c>
      <c r="G106" s="14" t="n">
        <v>52.5</v>
      </c>
      <c r="H106" s="13" t="n">
        <v>50</v>
      </c>
      <c r="I106" s="14" t="n">
        <v>46.2</v>
      </c>
      <c r="J106" s="13" t="n">
        <v>100</v>
      </c>
      <c r="K106" s="14" t="n">
        <v>42</v>
      </c>
      <c r="L106" s="16">
        <f>IFERROR(G106/$E106,"")</f>
        <v/>
      </c>
      <c r="M106" s="16">
        <f>IFERROR(I106/$E106,"")</f>
        <v/>
      </c>
      <c r="N106" s="16">
        <f>IFERROR(K106/$E106,"")</f>
        <v/>
      </c>
    </row>
    <row r="107">
      <c r="A107" s="9" t="inlineStr">
        <is>
          <t>18507</t>
        </is>
      </c>
      <c r="B107" s="10" t="inlineStr">
        <is>
          <t>Necessaire Organizadora</t>
        </is>
      </c>
      <c r="C107" s="11" t="inlineStr">
        <is>
          <t>No catálogo</t>
        </is>
      </c>
      <c r="D107" s="11" t="inlineStr">
        <is>
          <t>Necessaires e Porta Joias</t>
        </is>
      </c>
      <c r="E107" s="12" t="n">
        <v>18.9</v>
      </c>
      <c r="F107" s="13" t="n">
        <v>20</v>
      </c>
      <c r="G107" s="14" t="n">
        <v>47.25</v>
      </c>
      <c r="H107" s="13" t="n">
        <v>50</v>
      </c>
      <c r="I107" s="14" t="n">
        <v>41.58</v>
      </c>
      <c r="J107" s="13" t="n">
        <v>100</v>
      </c>
      <c r="K107" s="14" t="n">
        <v>37.8</v>
      </c>
      <c r="L107" s="16">
        <f>IFERROR(G107/$E107,"")</f>
        <v/>
      </c>
      <c r="M107" s="16">
        <f>IFERROR(I107/$E107,"")</f>
        <v/>
      </c>
      <c r="N107" s="16">
        <f>IFERROR(K107/$E107,"")</f>
        <v/>
      </c>
    </row>
    <row r="109">
      <c r="A109" s="2" t="inlineStr">
        <is>
          <t>96 produtos. Custo lido de products_cache (preco_custo) em 04/09/2026; venda lida de catalogo_clientes.</t>
        </is>
      </c>
    </row>
  </sheetData>
  <autoFilter ref="A10:N10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26" customWidth="1" min="4" max="4"/>
    <col width="11" customWidth="1" min="5" max="5"/>
    <col width="10" customWidth="1" min="6" max="6"/>
    <col width="15" customWidth="1" min="7" max="7"/>
    <col width="10" customWidth="1" min="8" max="8"/>
    <col width="15" customWidth="1" min="9" max="9"/>
    <col width="10" customWidth="1" min="10" max="10"/>
    <col width="15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Precificação — produtos ocultos</t>
        </is>
      </c>
    </row>
    <row r="2">
      <c r="A2" s="2" t="inlineStr">
        <is>
          <t>40 produtos que existem no cadastro mas estão desligados do catálogo. Preencha só se pretende reativá-los.</t>
        </is>
      </c>
    </row>
    <row r="4">
      <c r="A4" s="3" t="inlineStr">
        <is>
          <t>Como preencher</t>
        </is>
      </c>
    </row>
    <row r="5">
      <c r="A5" s="4" t="inlineStr">
        <is>
          <t>• Edite apenas as colunas de fundo amarelo: Qtd faixa 1/2/3 e Venda faixa 1/2/3. O texto em azul é o valor que está no ar hoje - altere só o que quiser mudar.</t>
        </is>
      </c>
    </row>
    <row r="6">
      <c r="A6" s="4" t="inlineStr">
        <is>
          <t>• As faixas são a escada de quantidade do card: faixa 1 é o menor volume e faixa 3 é o melhor preço. Quase todo produto usa 20 / 50 / 100; caneta, sacola e o chaveiro 09824 usam 100 / 200 / 1000, porque o mínimo do fornecedor é 100.</t>
        </is>
      </c>
    </row>
    <row r="7">
      <c r="A7" s="4" t="inlineStr">
        <is>
          <t>• As colunas x1, x2 e x3 são calculadas (venda ÷ custo) e atualizam sozinhas conforme você digita. Servem para conferir a margem - não precisa preencher.</t>
        </is>
      </c>
    </row>
    <row r="8">
      <c r="A8" s="4" t="inlineStr">
        <is>
          <t>• Código, Descrição, Situação, Seção e Custo são só referência. Não altere o Código: é por ele que os preços voltam para o sistema.</t>
        </is>
      </c>
    </row>
    <row r="10" ht="30" customHeight="1">
      <c r="A10" s="5" t="inlineStr">
        <is>
          <t>Código</t>
        </is>
      </c>
      <c r="B10" s="5" t="inlineStr">
        <is>
          <t>Descrição</t>
        </is>
      </c>
      <c r="C10" s="5" t="inlineStr">
        <is>
          <t>Situação</t>
        </is>
      </c>
      <c r="D10" s="5" t="inlineStr">
        <is>
          <t>Seção do catálogo</t>
        </is>
      </c>
      <c r="E10" s="5" t="inlineStr">
        <is>
          <t>Custo (R$)</t>
        </is>
      </c>
      <c r="F10" s="5" t="inlineStr">
        <is>
          <t>Qtd faixa 1</t>
        </is>
      </c>
      <c r="G10" s="5" t="inlineStr">
        <is>
          <t>Venda faixa 1 (R$)</t>
        </is>
      </c>
      <c r="H10" s="5" t="inlineStr">
        <is>
          <t>Qtd faixa 2</t>
        </is>
      </c>
      <c r="I10" s="5" t="inlineStr">
        <is>
          <t>Venda faixa 2 (R$)</t>
        </is>
      </c>
      <c r="J10" s="5" t="inlineStr">
        <is>
          <t>Qtd faixa 3</t>
        </is>
      </c>
      <c r="K10" s="5" t="inlineStr">
        <is>
          <t>Venda faixa 3 (R$)</t>
        </is>
      </c>
      <c r="L10" s="5" t="inlineStr">
        <is>
          <t>x1</t>
        </is>
      </c>
      <c r="M10" s="5" t="inlineStr">
        <is>
          <t>x2</t>
        </is>
      </c>
      <c r="N10" s="5" t="inlineStr">
        <is>
          <t>x3</t>
        </is>
      </c>
    </row>
    <row r="11">
      <c r="A11" s="6" t="inlineStr">
        <is>
          <t>EXEMPLO</t>
        </is>
      </c>
      <c r="B11" s="6" t="inlineStr">
        <is>
          <t>Assim que a linha deve ficar preenchida</t>
        </is>
      </c>
      <c r="C11" s="6" t="inlineStr">
        <is>
          <t>—</t>
        </is>
      </c>
      <c r="D11" s="6" t="inlineStr">
        <is>
          <t>—</t>
        </is>
      </c>
      <c r="E11" s="7" t="n">
        <v>10</v>
      </c>
      <c r="F11" s="6" t="n">
        <v>20</v>
      </c>
      <c r="G11" s="7" t="n">
        <v>25</v>
      </c>
      <c r="H11" s="6" t="n">
        <v>50</v>
      </c>
      <c r="I11" s="7" t="n">
        <v>22</v>
      </c>
      <c r="J11" s="6" t="n">
        <v>100</v>
      </c>
      <c r="K11" s="7" t="n">
        <v>20</v>
      </c>
      <c r="L11" s="8">
        <f>IFERROR(G11/$E11,"")</f>
        <v/>
      </c>
      <c r="M11" s="8">
        <f>IFERROR(I11/$E11,"")</f>
        <v/>
      </c>
      <c r="N11" s="8">
        <f>IFERROR(K11/$E11,"")</f>
        <v/>
      </c>
    </row>
    <row r="12">
      <c r="A12" s="9" t="inlineStr">
        <is>
          <t>01318</t>
        </is>
      </c>
      <c r="B12" s="10" t="inlineStr">
        <is>
          <t>Mochila Nylon Usb 20L</t>
        </is>
      </c>
      <c r="C12" s="11" t="inlineStr">
        <is>
          <t>Oculto</t>
        </is>
      </c>
      <c r="D12" s="11" t="inlineStr">
        <is>
          <t>Mochilas, Bolsas e Malas</t>
        </is>
      </c>
      <c r="E12" s="12" t="n">
        <v>36.5</v>
      </c>
      <c r="F12" s="13" t="n">
        <v>20</v>
      </c>
      <c r="G12" s="14" t="n">
        <v>69.90000000000001</v>
      </c>
      <c r="H12" s="13" t="n">
        <v>50</v>
      </c>
      <c r="I12" s="14" t="n">
        <v>61.51</v>
      </c>
      <c r="J12" s="13" t="n">
        <v>100</v>
      </c>
      <c r="K12" s="14" t="n">
        <v>55.92</v>
      </c>
      <c r="L12" s="15">
        <f>IFERROR(G12/$E12,"")</f>
        <v/>
      </c>
      <c r="M12" s="16">
        <f>IFERROR(I12/$E12,"")</f>
        <v/>
      </c>
      <c r="N12" s="16">
        <f>IFERROR(K12/$E12,"")</f>
        <v/>
      </c>
    </row>
    <row r="13">
      <c r="A13" s="9" t="inlineStr">
        <is>
          <t>06094</t>
        </is>
      </c>
      <c r="B13" s="10" t="inlineStr">
        <is>
          <t>Copo Vidro Parede Dupla 80Ml</t>
        </is>
      </c>
      <c r="C13" s="11" t="inlineStr">
        <is>
          <t>Oculto</t>
        </is>
      </c>
      <c r="D13" s="11" t="inlineStr">
        <is>
          <t>Copos, Garrafas e Canecas</t>
        </is>
      </c>
      <c r="E13" s="12" t="n">
        <v>7.2</v>
      </c>
      <c r="F13" s="13" t="n">
        <v>20</v>
      </c>
      <c r="G13" s="14" t="n">
        <v>18</v>
      </c>
      <c r="H13" s="13" t="n">
        <v>50</v>
      </c>
      <c r="I13" s="14" t="n">
        <v>15.84</v>
      </c>
      <c r="J13" s="13" t="n">
        <v>100</v>
      </c>
      <c r="K13" s="14" t="n">
        <v>14.4</v>
      </c>
      <c r="L13" s="16">
        <f>IFERROR(G13/$E13,"")</f>
        <v/>
      </c>
      <c r="M13" s="16">
        <f>IFERROR(I13/$E13,"")</f>
        <v/>
      </c>
      <c r="N13" s="16">
        <f>IFERROR(K13/$E13,"")</f>
        <v/>
      </c>
    </row>
    <row r="14">
      <c r="A14" s="9" t="inlineStr">
        <is>
          <t>14498</t>
        </is>
      </c>
      <c r="B14" s="10" t="inlineStr">
        <is>
          <t>Copo Fibra De Arroz 350Ml</t>
        </is>
      </c>
      <c r="C14" s="11" t="inlineStr">
        <is>
          <t>Oculto</t>
        </is>
      </c>
      <c r="D14" s="11" t="inlineStr">
        <is>
          <t>Copos, Garrafas e Canecas</t>
        </is>
      </c>
      <c r="E14" s="12" t="n">
        <v>3.1</v>
      </c>
      <c r="F14" s="13" t="n">
        <v>20</v>
      </c>
      <c r="G14" s="14" t="n">
        <v>7.48</v>
      </c>
      <c r="H14" s="13" t="n">
        <v>50</v>
      </c>
      <c r="I14" s="14" t="n">
        <v>6.58</v>
      </c>
      <c r="J14" s="13" t="n">
        <v>100</v>
      </c>
      <c r="K14" s="14" t="n">
        <v>5.98</v>
      </c>
      <c r="L14" s="15">
        <f>IFERROR(G14/$E14,"")</f>
        <v/>
      </c>
      <c r="M14" s="16">
        <f>IFERROR(I14/$E14,"")</f>
        <v/>
      </c>
      <c r="N14" s="16">
        <f>IFERROR(K14/$E14,"")</f>
        <v/>
      </c>
    </row>
    <row r="15">
      <c r="A15" s="9" t="inlineStr">
        <is>
          <t>08245</t>
        </is>
      </c>
      <c r="B15" s="10" t="inlineStr">
        <is>
          <t>Copo Inox Parede Dupla 150Ml</t>
        </is>
      </c>
      <c r="C15" s="11" t="inlineStr">
        <is>
          <t>Oculto</t>
        </is>
      </c>
      <c r="D15" s="11" t="inlineStr">
        <is>
          <t>Copos, Garrafas e Canecas</t>
        </is>
      </c>
      <c r="E15" s="12" t="n">
        <v>20.5</v>
      </c>
      <c r="F15" s="13" t="n">
        <v>20</v>
      </c>
      <c r="G15" s="14" t="n">
        <v>51.25</v>
      </c>
      <c r="H15" s="13" t="n">
        <v>50</v>
      </c>
      <c r="I15" s="14" t="n">
        <v>45.1</v>
      </c>
      <c r="J15" s="13" t="n">
        <v>100</v>
      </c>
      <c r="K15" s="14" t="n">
        <v>41</v>
      </c>
      <c r="L15" s="16">
        <f>IFERROR(G15/$E15,"")</f>
        <v/>
      </c>
      <c r="M15" s="16">
        <f>IFERROR(I15/$E15,"")</f>
        <v/>
      </c>
      <c r="N15" s="16">
        <f>IFERROR(K15/$E15,"")</f>
        <v/>
      </c>
    </row>
    <row r="16">
      <c r="A16" s="9" t="inlineStr">
        <is>
          <t>9139A</t>
        </is>
      </c>
      <c r="B16" s="10" t="inlineStr">
        <is>
          <t>Squeeze Aluminio 500Ml C/ Bico E Mosquetão</t>
        </is>
      </c>
      <c r="C16" s="11" t="inlineStr">
        <is>
          <t>Oculto</t>
        </is>
      </c>
      <c r="D16" s="11" t="inlineStr">
        <is>
          <t>Copos, Garrafas e Canecas</t>
        </is>
      </c>
      <c r="E16" s="12" t="n">
        <v>9.449999999999999</v>
      </c>
      <c r="F16" s="13" t="n">
        <v>20</v>
      </c>
      <c r="G16" s="14" t="n">
        <v>24.75</v>
      </c>
      <c r="H16" s="13" t="n">
        <v>50</v>
      </c>
      <c r="I16" s="14" t="n">
        <v>21.78</v>
      </c>
      <c r="J16" s="13" t="n">
        <v>100</v>
      </c>
      <c r="K16" s="14" t="n">
        <v>19.8</v>
      </c>
      <c r="L16" s="15">
        <f>IFERROR(G16/$E16,"")</f>
        <v/>
      </c>
      <c r="M16" s="16">
        <f>IFERROR(I16/$E16,"")</f>
        <v/>
      </c>
      <c r="N16" s="16">
        <f>IFERROR(K16/$E16,"")</f>
        <v/>
      </c>
    </row>
    <row r="17">
      <c r="A17" s="9" t="inlineStr">
        <is>
          <t>17012</t>
        </is>
      </c>
      <c r="B17" s="10" t="inlineStr">
        <is>
          <t>Garrafa Plástica 700Ml</t>
        </is>
      </c>
      <c r="C17" s="11" t="inlineStr">
        <is>
          <t>Oculto</t>
        </is>
      </c>
      <c r="D17" s="11" t="inlineStr">
        <is>
          <t>Copos, Garrafas e Canecas</t>
        </is>
      </c>
      <c r="E17" s="12" t="n">
        <v>8.5</v>
      </c>
      <c r="F17" s="13" t="n">
        <v>20</v>
      </c>
      <c r="G17" s="14" t="n">
        <v>21.25</v>
      </c>
      <c r="H17" s="13" t="n">
        <v>50</v>
      </c>
      <c r="I17" s="14" t="n">
        <v>18.7</v>
      </c>
      <c r="J17" s="13" t="n">
        <v>100</v>
      </c>
      <c r="K17" s="14" t="n">
        <v>17</v>
      </c>
      <c r="L17" s="16">
        <f>IFERROR(G17/$E17,"")</f>
        <v/>
      </c>
      <c r="M17" s="16">
        <f>IFERROR(I17/$E17,"")</f>
        <v/>
      </c>
      <c r="N17" s="16">
        <f>IFERROR(K17/$E17,"")</f>
        <v/>
      </c>
    </row>
    <row r="18">
      <c r="A18" s="9" t="inlineStr">
        <is>
          <t>06012</t>
        </is>
      </c>
      <c r="B18" s="10" t="inlineStr">
        <is>
          <t>Garrafa Inox Parede Dupla 250Ml</t>
        </is>
      </c>
      <c r="C18" s="11" t="inlineStr">
        <is>
          <t>Oculto</t>
        </is>
      </c>
      <c r="D18" s="11" t="inlineStr">
        <is>
          <t>Copos, Garrafas e Canecas</t>
        </is>
      </c>
      <c r="E18" s="12" t="n">
        <v>18.9</v>
      </c>
      <c r="F18" s="13" t="n">
        <v>20</v>
      </c>
      <c r="G18" s="14" t="n">
        <v>47.25</v>
      </c>
      <c r="H18" s="13" t="n">
        <v>50</v>
      </c>
      <c r="I18" s="14" t="n">
        <v>41.58</v>
      </c>
      <c r="J18" s="13" t="n">
        <v>100</v>
      </c>
      <c r="K18" s="14" t="n">
        <v>37.8</v>
      </c>
      <c r="L18" s="16">
        <f>IFERROR(G18/$E18,"")</f>
        <v/>
      </c>
      <c r="M18" s="16">
        <f>IFERROR(I18/$E18,"")</f>
        <v/>
      </c>
      <c r="N18" s="16">
        <f>IFERROR(K18/$E18,"")</f>
        <v/>
      </c>
    </row>
    <row r="19">
      <c r="A19" s="9" t="inlineStr">
        <is>
          <t>18781</t>
        </is>
      </c>
      <c r="B19" s="10" t="inlineStr">
        <is>
          <t>Garrafa De Alumínio 600Ml</t>
        </is>
      </c>
      <c r="C19" s="11" t="inlineStr">
        <is>
          <t>Oculto</t>
        </is>
      </c>
      <c r="D19" s="11" t="inlineStr">
        <is>
          <t>Copos, Garrafas e Canecas</t>
        </is>
      </c>
      <c r="E19" s="12" t="n">
        <v>11.5</v>
      </c>
      <c r="F19" s="13" t="n">
        <v>20</v>
      </c>
      <c r="G19" s="14" t="n">
        <v>28.75</v>
      </c>
      <c r="H19" s="13" t="n">
        <v>50</v>
      </c>
      <c r="I19" s="14" t="n">
        <v>25.3</v>
      </c>
      <c r="J19" s="13" t="n">
        <v>100</v>
      </c>
      <c r="K19" s="14" t="n">
        <v>23</v>
      </c>
      <c r="L19" s="16">
        <f>IFERROR(G19/$E19,"")</f>
        <v/>
      </c>
      <c r="M19" s="16">
        <f>IFERROR(I19/$E19,"")</f>
        <v/>
      </c>
      <c r="N19" s="16">
        <f>IFERROR(K19/$E19,"")</f>
        <v/>
      </c>
    </row>
    <row r="20">
      <c r="A20" s="9" t="inlineStr">
        <is>
          <t>13282</t>
        </is>
      </c>
      <c r="B20" s="10" t="inlineStr">
        <is>
          <t>Caneca Cerâmica 330Ml</t>
        </is>
      </c>
      <c r="C20" s="11" t="inlineStr">
        <is>
          <t>Oculto</t>
        </is>
      </c>
      <c r="D20" s="11" t="inlineStr">
        <is>
          <t>Copos, Garrafas e Canecas</t>
        </is>
      </c>
      <c r="E20" s="12" t="n">
        <v>9.199999999999999</v>
      </c>
      <c r="F20" s="13" t="n">
        <v>20</v>
      </c>
      <c r="G20" s="14" t="n">
        <v>23</v>
      </c>
      <c r="H20" s="13" t="n">
        <v>50</v>
      </c>
      <c r="I20" s="14" t="n">
        <v>20.24</v>
      </c>
      <c r="J20" s="13" t="n">
        <v>100</v>
      </c>
      <c r="K20" s="14" t="n">
        <v>18.4</v>
      </c>
      <c r="L20" s="16">
        <f>IFERROR(G20/$E20,"")</f>
        <v/>
      </c>
      <c r="M20" s="16">
        <f>IFERROR(I20/$E20,"")</f>
        <v/>
      </c>
      <c r="N20" s="16">
        <f>IFERROR(K20/$E20,"")</f>
        <v/>
      </c>
    </row>
    <row r="21">
      <c r="A21" s="9" t="inlineStr">
        <is>
          <t>03590</t>
        </is>
      </c>
      <c r="B21" s="10" t="inlineStr">
        <is>
          <t>Caneca Inox 370Ml</t>
        </is>
      </c>
      <c r="C21" s="11" t="inlineStr">
        <is>
          <t>Oculto</t>
        </is>
      </c>
      <c r="D21" s="11" t="inlineStr">
        <is>
          <t>Copos, Garrafas e Canecas</t>
        </is>
      </c>
      <c r="E21" s="12" t="n">
        <v>11.5</v>
      </c>
      <c r="F21" s="13" t="n">
        <v>20</v>
      </c>
      <c r="G21" s="14" t="n">
        <v>28.75</v>
      </c>
      <c r="H21" s="13" t="n">
        <v>50</v>
      </c>
      <c r="I21" s="14" t="n">
        <v>25.3</v>
      </c>
      <c r="J21" s="13" t="n">
        <v>100</v>
      </c>
      <c r="K21" s="14" t="n">
        <v>23</v>
      </c>
      <c r="L21" s="16">
        <f>IFERROR(G21/$E21,"")</f>
        <v/>
      </c>
      <c r="M21" s="16">
        <f>IFERROR(I21/$E21,"")</f>
        <v/>
      </c>
      <c r="N21" s="16">
        <f>IFERROR(K21/$E21,"")</f>
        <v/>
      </c>
    </row>
    <row r="22">
      <c r="A22" s="9" t="inlineStr">
        <is>
          <t>06024</t>
        </is>
      </c>
      <c r="B22" s="10" t="inlineStr">
        <is>
          <t>Bolsa Térmica 6L</t>
        </is>
      </c>
      <c r="C22" s="11" t="inlineStr">
        <is>
          <t>Oculto</t>
        </is>
      </c>
      <c r="D22" s="11" t="inlineStr">
        <is>
          <t>Mochilas, Bolsas e Malas</t>
        </is>
      </c>
      <c r="E22" s="12" t="n">
        <v>10.9</v>
      </c>
      <c r="F22" s="13" t="n">
        <v>20</v>
      </c>
      <c r="G22" s="14" t="n">
        <v>27.25</v>
      </c>
      <c r="H22" s="13" t="n">
        <v>50</v>
      </c>
      <c r="I22" s="14" t="n">
        <v>23.98</v>
      </c>
      <c r="J22" s="13" t="n">
        <v>100</v>
      </c>
      <c r="K22" s="14" t="n">
        <v>21.8</v>
      </c>
      <c r="L22" s="16">
        <f>IFERROR(G22/$E22,"")</f>
        <v/>
      </c>
      <c r="M22" s="16">
        <f>IFERROR(I22/$E22,"")</f>
        <v/>
      </c>
      <c r="N22" s="16">
        <f>IFERROR(K22/$E22,"")</f>
        <v/>
      </c>
    </row>
    <row r="23">
      <c r="A23" s="9" t="inlineStr">
        <is>
          <t>04357</t>
        </is>
      </c>
      <c r="B23" s="10" t="inlineStr">
        <is>
          <t>Bolsa Térmica 10L</t>
        </is>
      </c>
      <c r="C23" s="11" t="inlineStr">
        <is>
          <t>Oculto</t>
        </is>
      </c>
      <c r="D23" s="11" t="inlineStr">
        <is>
          <t>Mochilas, Bolsas e Malas</t>
        </is>
      </c>
      <c r="E23" s="12" t="n">
        <v>25</v>
      </c>
      <c r="F23" s="13" t="n">
        <v>20</v>
      </c>
      <c r="G23" s="14" t="n">
        <v>62.5</v>
      </c>
      <c r="H23" s="13" t="n">
        <v>50</v>
      </c>
      <c r="I23" s="14" t="n">
        <v>55</v>
      </c>
      <c r="J23" s="13" t="n">
        <v>100</v>
      </c>
      <c r="K23" s="14" t="n">
        <v>50</v>
      </c>
      <c r="L23" s="16">
        <f>IFERROR(G23/$E23,"")</f>
        <v/>
      </c>
      <c r="M23" s="16">
        <f>IFERROR(I23/$E23,"")</f>
        <v/>
      </c>
      <c r="N23" s="16">
        <f>IFERROR(K23/$E23,"")</f>
        <v/>
      </c>
    </row>
    <row r="24">
      <c r="A24" s="9" t="inlineStr">
        <is>
          <t>02399</t>
        </is>
      </c>
      <c r="B24" s="10" t="inlineStr">
        <is>
          <t>Bolsa Térmica 6 Litros.</t>
        </is>
      </c>
      <c r="C24" s="11" t="inlineStr">
        <is>
          <t>Oculto</t>
        </is>
      </c>
      <c r="D24" s="11" t="inlineStr">
        <is>
          <t>Mochilas, Bolsas e Malas</t>
        </is>
      </c>
      <c r="E24" s="12" t="n">
        <v>6.2</v>
      </c>
      <c r="F24" s="13" t="n">
        <v>20</v>
      </c>
      <c r="G24" s="14" t="n">
        <v>15.5</v>
      </c>
      <c r="H24" s="13" t="n">
        <v>50</v>
      </c>
      <c r="I24" s="14" t="n">
        <v>13.64</v>
      </c>
      <c r="J24" s="13" t="n">
        <v>100</v>
      </c>
      <c r="K24" s="14" t="n">
        <v>12.4</v>
      </c>
      <c r="L24" s="16">
        <f>IFERROR(G24/$E24,"")</f>
        <v/>
      </c>
      <c r="M24" s="16">
        <f>IFERROR(I24/$E24,"")</f>
        <v/>
      </c>
      <c r="N24" s="16">
        <f>IFERROR(K24/$E24,"")</f>
        <v/>
      </c>
    </row>
    <row r="25">
      <c r="A25" s="9" t="inlineStr">
        <is>
          <t>04385</t>
        </is>
      </c>
      <c r="B25" s="10" t="inlineStr">
        <is>
          <t>Bolsa Térmica 11L</t>
        </is>
      </c>
      <c r="C25" s="11" t="inlineStr">
        <is>
          <t>Oculto</t>
        </is>
      </c>
      <c r="D25" s="11" t="inlineStr">
        <is>
          <t>Mochilas, Bolsas e Malas</t>
        </is>
      </c>
      <c r="E25" s="12" t="n">
        <v>28.9</v>
      </c>
      <c r="F25" s="13" t="n">
        <v>20</v>
      </c>
      <c r="G25" s="14" t="n">
        <v>72.25</v>
      </c>
      <c r="H25" s="13" t="n">
        <v>50</v>
      </c>
      <c r="I25" s="14" t="n">
        <v>63.58</v>
      </c>
      <c r="J25" s="13" t="n">
        <v>100</v>
      </c>
      <c r="K25" s="14" t="n">
        <v>57.8</v>
      </c>
      <c r="L25" s="16">
        <f>IFERROR(G25/$E25,"")</f>
        <v/>
      </c>
      <c r="M25" s="16">
        <f>IFERROR(I25/$E25,"")</f>
        <v/>
      </c>
      <c r="N25" s="16">
        <f>IFERROR(K25/$E25,"")</f>
        <v/>
      </c>
    </row>
    <row r="26">
      <c r="A26" s="9" t="inlineStr">
        <is>
          <t>15436</t>
        </is>
      </c>
      <c r="B26" s="10" t="inlineStr">
        <is>
          <t>Balança De Mala</t>
        </is>
      </c>
      <c r="C26" s="11" t="inlineStr">
        <is>
          <t>Oculto</t>
        </is>
      </c>
      <c r="D26" s="11" t="inlineStr">
        <is>
          <t>Mochilas, Bolsas e Malas</t>
        </is>
      </c>
      <c r="E26" s="12" t="n">
        <v>19.7</v>
      </c>
      <c r="F26" s="13" t="n">
        <v>20</v>
      </c>
      <c r="G26" s="14" t="n">
        <v>49.25</v>
      </c>
      <c r="H26" s="13" t="n">
        <v>50</v>
      </c>
      <c r="I26" s="14" t="n">
        <v>43.34</v>
      </c>
      <c r="J26" s="13" t="n">
        <v>100</v>
      </c>
      <c r="K26" s="14" t="n">
        <v>39.4</v>
      </c>
      <c r="L26" s="16">
        <f>IFERROR(G26/$E26,"")</f>
        <v/>
      </c>
      <c r="M26" s="16">
        <f>IFERROR(I26/$E26,"")</f>
        <v/>
      </c>
      <c r="N26" s="16">
        <f>IFERROR(K26/$E26,"")</f>
        <v/>
      </c>
    </row>
    <row r="27">
      <c r="A27" s="9" t="inlineStr">
        <is>
          <t>06068</t>
        </is>
      </c>
      <c r="B27" s="10" t="inlineStr">
        <is>
          <t>Mala De Viagem 66L</t>
        </is>
      </c>
      <c r="C27" s="11" t="inlineStr">
        <is>
          <t>Oculto</t>
        </is>
      </c>
      <c r="D27" s="11" t="inlineStr">
        <is>
          <t>Mochilas, Bolsas e Malas</t>
        </is>
      </c>
      <c r="E27" s="12" t="n">
        <v>165</v>
      </c>
      <c r="F27" s="13" t="n">
        <v>20</v>
      </c>
      <c r="G27" s="14" t="n">
        <v>412.5</v>
      </c>
      <c r="H27" s="13" t="n">
        <v>50</v>
      </c>
      <c r="I27" s="14" t="n">
        <v>363</v>
      </c>
      <c r="J27" s="13" t="n">
        <v>100</v>
      </c>
      <c r="K27" s="14" t="n">
        <v>330</v>
      </c>
      <c r="L27" s="16">
        <f>IFERROR(G27/$E27,"")</f>
        <v/>
      </c>
      <c r="M27" s="16">
        <f>IFERROR(I27/$E27,"")</f>
        <v/>
      </c>
      <c r="N27" s="16">
        <f>IFERROR(K27/$E27,"")</f>
        <v/>
      </c>
    </row>
    <row r="28">
      <c r="A28" s="9" t="inlineStr">
        <is>
          <t>18738</t>
        </is>
      </c>
      <c r="B28" s="10" t="inlineStr">
        <is>
          <t>Nécessaire Poliéster</t>
        </is>
      </c>
      <c r="C28" s="11" t="inlineStr">
        <is>
          <t>Oculto</t>
        </is>
      </c>
      <c r="D28" s="11" t="inlineStr">
        <is>
          <t>Necessaires e Porta Joias</t>
        </is>
      </c>
      <c r="E28" s="12" t="n">
        <v>9.9</v>
      </c>
      <c r="F28" s="13" t="n">
        <v>20</v>
      </c>
      <c r="G28" s="14" t="n">
        <v>24.75</v>
      </c>
      <c r="H28" s="13" t="n">
        <v>50</v>
      </c>
      <c r="I28" s="14" t="n">
        <v>21.78</v>
      </c>
      <c r="J28" s="13" t="n">
        <v>100</v>
      </c>
      <c r="K28" s="14" t="n">
        <v>19.8</v>
      </c>
      <c r="L28" s="16">
        <f>IFERROR(G28/$E28,"")</f>
        <v/>
      </c>
      <c r="M28" s="16">
        <f>IFERROR(I28/$E28,"")</f>
        <v/>
      </c>
      <c r="N28" s="16">
        <f>IFERROR(K28/$E28,"")</f>
        <v/>
      </c>
    </row>
    <row r="29">
      <c r="A29" s="9" t="inlineStr">
        <is>
          <t>01361B</t>
        </is>
      </c>
      <c r="B29" s="10" t="inlineStr">
        <is>
          <t>Kit Manicure 7 Peças</t>
        </is>
      </c>
      <c r="C29" s="11" t="inlineStr">
        <is>
          <t>Oculto</t>
        </is>
      </c>
      <c r="D29" s="11" t="inlineStr">
        <is>
          <t>Necessaires e Porta Joias</t>
        </is>
      </c>
      <c r="E29" s="12" t="n">
        <v>6.9</v>
      </c>
      <c r="F29" s="13" t="n">
        <v>20</v>
      </c>
      <c r="G29" s="14" t="n">
        <v>17.25</v>
      </c>
      <c r="H29" s="13" t="n">
        <v>50</v>
      </c>
      <c r="I29" s="14" t="n">
        <v>15.18</v>
      </c>
      <c r="J29" s="13" t="n">
        <v>100</v>
      </c>
      <c r="K29" s="14" t="n">
        <v>13.8</v>
      </c>
      <c r="L29" s="16">
        <f>IFERROR(G29/$E29,"")</f>
        <v/>
      </c>
      <c r="M29" s="16">
        <f>IFERROR(I29/$E29,"")</f>
        <v/>
      </c>
      <c r="N29" s="16">
        <f>IFERROR(K29/$E29,"")</f>
        <v/>
      </c>
    </row>
    <row r="30">
      <c r="A30" s="9" t="inlineStr">
        <is>
          <t>03005</t>
        </is>
      </c>
      <c r="B30" s="10" t="inlineStr">
        <is>
          <t>Caderneta De Couro Sintético</t>
        </is>
      </c>
      <c r="C30" s="11" t="inlineStr">
        <is>
          <t>Oculto</t>
        </is>
      </c>
      <c r="D30" s="11" t="inlineStr">
        <is>
          <t>Cadernetas, Blocos e Canetas</t>
        </is>
      </c>
      <c r="E30" s="12" t="n">
        <v>7.5</v>
      </c>
      <c r="F30" s="13" t="n">
        <v>20</v>
      </c>
      <c r="G30" s="14" t="n">
        <v>18.75</v>
      </c>
      <c r="H30" s="13" t="n">
        <v>50</v>
      </c>
      <c r="I30" s="14" t="n">
        <v>16.5</v>
      </c>
      <c r="J30" s="13" t="n">
        <v>100</v>
      </c>
      <c r="K30" s="14" t="n">
        <v>15</v>
      </c>
      <c r="L30" s="16">
        <f>IFERROR(G30/$E30,"")</f>
        <v/>
      </c>
      <c r="M30" s="16">
        <f>IFERROR(I30/$E30,"")</f>
        <v/>
      </c>
      <c r="N30" s="16">
        <f>IFERROR(K30/$E30,"")</f>
        <v/>
      </c>
    </row>
    <row r="31">
      <c r="A31" s="9" t="inlineStr">
        <is>
          <t>11911S</t>
        </is>
      </c>
      <c r="B31" s="10" t="inlineStr">
        <is>
          <t>Bloco De Anotações C/ Auto-Adesivo</t>
        </is>
      </c>
      <c r="C31" s="11" t="inlineStr">
        <is>
          <t>Oculto</t>
        </is>
      </c>
      <c r="D31" s="11" t="inlineStr">
        <is>
          <t>Cadernetas, Blocos e Canetas</t>
        </is>
      </c>
      <c r="E31" s="12" t="n">
        <v>3.5</v>
      </c>
      <c r="F31" s="13" t="n">
        <v>20</v>
      </c>
      <c r="G31" s="14" t="n">
        <v>8.75</v>
      </c>
      <c r="H31" s="13" t="n">
        <v>50</v>
      </c>
      <c r="I31" s="14" t="n">
        <v>7.7</v>
      </c>
      <c r="J31" s="13" t="n">
        <v>100</v>
      </c>
      <c r="K31" s="14" t="n">
        <v>7</v>
      </c>
      <c r="L31" s="16">
        <f>IFERROR(G31/$E31,"")</f>
        <v/>
      </c>
      <c r="M31" s="16">
        <f>IFERROR(I31/$E31,"")</f>
        <v/>
      </c>
      <c r="N31" s="16">
        <f>IFERROR(K31/$E31,"")</f>
        <v/>
      </c>
    </row>
    <row r="32">
      <c r="A32" s="9" t="inlineStr">
        <is>
          <t>05065</t>
        </is>
      </c>
      <c r="B32" s="10" t="inlineStr">
        <is>
          <t>Bloco De Anotações C/ Auto Adesivos</t>
        </is>
      </c>
      <c r="C32" s="11" t="inlineStr">
        <is>
          <t>Oculto</t>
        </is>
      </c>
      <c r="D32" s="11" t="inlineStr">
        <is>
          <t>Cadernetas, Blocos e Canetas</t>
        </is>
      </c>
      <c r="E32" s="12" t="n">
        <v>4.5</v>
      </c>
      <c r="F32" s="13" t="n">
        <v>20</v>
      </c>
      <c r="G32" s="14" t="n">
        <v>11.25</v>
      </c>
      <c r="H32" s="13" t="n">
        <v>50</v>
      </c>
      <c r="I32" s="14" t="n">
        <v>9.9</v>
      </c>
      <c r="J32" s="13" t="n">
        <v>100</v>
      </c>
      <c r="K32" s="14" t="n">
        <v>9</v>
      </c>
      <c r="L32" s="16">
        <f>IFERROR(G32/$E32,"")</f>
        <v/>
      </c>
      <c r="M32" s="16">
        <f>IFERROR(I32/$E32,"")</f>
        <v/>
      </c>
      <c r="N32" s="16">
        <f>IFERROR(K32/$E32,"")</f>
        <v/>
      </c>
    </row>
    <row r="33">
      <c r="A33" s="9" t="inlineStr">
        <is>
          <t>05064</t>
        </is>
      </c>
      <c r="B33" s="10" t="inlineStr">
        <is>
          <t>Bloco De Anotações Ecológico Com Caneta</t>
        </is>
      </c>
      <c r="C33" s="11" t="inlineStr">
        <is>
          <t>Oculto</t>
        </is>
      </c>
      <c r="D33" s="11" t="inlineStr">
        <is>
          <t>Cadernetas, Blocos e Canetas</t>
        </is>
      </c>
      <c r="E33" s="12" t="n">
        <v>4.2</v>
      </c>
      <c r="F33" s="13" t="n">
        <v>20</v>
      </c>
      <c r="G33" s="14" t="n">
        <v>10.5</v>
      </c>
      <c r="H33" s="13" t="n">
        <v>50</v>
      </c>
      <c r="I33" s="14" t="n">
        <v>9.24</v>
      </c>
      <c r="J33" s="13" t="n">
        <v>100</v>
      </c>
      <c r="K33" s="14" t="n">
        <v>8.4</v>
      </c>
      <c r="L33" s="16">
        <f>IFERROR(G33/$E33,"")</f>
        <v/>
      </c>
      <c r="M33" s="16">
        <f>IFERROR(I33/$E33,"")</f>
        <v/>
      </c>
      <c r="N33" s="16">
        <f>IFERROR(K33/$E33,"")</f>
        <v/>
      </c>
    </row>
    <row r="34">
      <c r="A34" s="9" t="inlineStr">
        <is>
          <t>13546B</t>
        </is>
      </c>
      <c r="B34" s="10" t="inlineStr">
        <is>
          <t>Caneta C/ 1 Anel E Ponta Touch</t>
        </is>
      </c>
      <c r="C34" s="11" t="inlineStr">
        <is>
          <t>Oculto</t>
        </is>
      </c>
      <c r="D34" s="11" t="inlineStr">
        <is>
          <t>Cadernetas, Blocos e Canetas</t>
        </is>
      </c>
      <c r="E34" s="12" t="n">
        <v>1.9</v>
      </c>
      <c r="F34" s="13" t="n">
        <v>100</v>
      </c>
      <c r="G34" s="14" t="n">
        <v>4.75</v>
      </c>
      <c r="H34" s="13" t="n">
        <v>200</v>
      </c>
      <c r="I34" s="14" t="n">
        <v>4.18</v>
      </c>
      <c r="J34" s="13" t="n">
        <v>1000</v>
      </c>
      <c r="K34" s="14" t="n">
        <v>3.8</v>
      </c>
      <c r="L34" s="16">
        <f>IFERROR(G34/$E34,"")</f>
        <v/>
      </c>
      <c r="M34" s="16">
        <f>IFERROR(I34/$E34,"")</f>
        <v/>
      </c>
      <c r="N34" s="16">
        <f>IFERROR(K34/$E34,"")</f>
        <v/>
      </c>
    </row>
    <row r="35">
      <c r="A35" s="9" t="inlineStr">
        <is>
          <t>01810A</t>
        </is>
      </c>
      <c r="B35" s="10" t="inlineStr">
        <is>
          <t>Mouse Pad Ergonômico</t>
        </is>
      </c>
      <c r="C35" s="11" t="inlineStr">
        <is>
          <t>Oculto</t>
        </is>
      </c>
      <c r="D35" s="11" t="inlineStr">
        <is>
          <t>Chaveiros, Mouse Pad e Kit Executivo</t>
        </is>
      </c>
      <c r="E35" s="12" t="n">
        <v>8.5</v>
      </c>
      <c r="F35" s="13" t="n">
        <v>20</v>
      </c>
      <c r="G35" s="14" t="n">
        <v>21.25</v>
      </c>
      <c r="H35" s="13" t="n">
        <v>50</v>
      </c>
      <c r="I35" s="14" t="n">
        <v>18.7</v>
      </c>
      <c r="J35" s="13" t="n">
        <v>100</v>
      </c>
      <c r="K35" s="14" t="n">
        <v>17</v>
      </c>
      <c r="L35" s="16">
        <f>IFERROR(G35/$E35,"")</f>
        <v/>
      </c>
      <c r="M35" s="16">
        <f>IFERROR(I35/$E35,"")</f>
        <v/>
      </c>
      <c r="N35" s="16">
        <f>IFERROR(K35/$E35,"")</f>
        <v/>
      </c>
    </row>
    <row r="36">
      <c r="A36" s="9" t="inlineStr">
        <is>
          <t>08255</t>
        </is>
      </c>
      <c r="B36" s="10" t="inlineStr">
        <is>
          <t>Kit Executivo 2 Peças</t>
        </is>
      </c>
      <c r="C36" s="11" t="inlineStr">
        <is>
          <t>Oculto</t>
        </is>
      </c>
      <c r="D36" s="11" t="inlineStr">
        <is>
          <t>Chaveiros, Mouse Pad e Kit Executivo</t>
        </is>
      </c>
      <c r="E36" s="12" t="n">
        <v>35</v>
      </c>
      <c r="F36" s="13" t="n">
        <v>20</v>
      </c>
      <c r="G36" s="14" t="n">
        <v>87.5</v>
      </c>
      <c r="H36" s="13" t="n">
        <v>50</v>
      </c>
      <c r="I36" s="14" t="n">
        <v>77</v>
      </c>
      <c r="J36" s="13" t="n">
        <v>100</v>
      </c>
      <c r="K36" s="14" t="n">
        <v>70</v>
      </c>
      <c r="L36" s="16">
        <f>IFERROR(G36/$E36,"")</f>
        <v/>
      </c>
      <c r="M36" s="16">
        <f>IFERROR(I36/$E36,"")</f>
        <v/>
      </c>
      <c r="N36" s="16">
        <f>IFERROR(K36/$E36,"")</f>
        <v/>
      </c>
    </row>
    <row r="37">
      <c r="A37" s="9" t="inlineStr">
        <is>
          <t>04067</t>
        </is>
      </c>
      <c r="B37" s="10" t="inlineStr">
        <is>
          <t>Caixa De Som Com Luminária</t>
        </is>
      </c>
      <c r="C37" s="11" t="inlineStr">
        <is>
          <t>Oculto</t>
        </is>
      </c>
      <c r="D37" s="11" t="inlineStr">
        <is>
          <t>Som, Fones e Power Bank</t>
        </is>
      </c>
      <c r="E37" s="12" t="n">
        <v>26.9</v>
      </c>
      <c r="F37" s="13" t="n">
        <v>20</v>
      </c>
      <c r="G37" s="14" t="n">
        <v>67.25</v>
      </c>
      <c r="H37" s="13" t="n">
        <v>50</v>
      </c>
      <c r="I37" s="14" t="n">
        <v>59.18</v>
      </c>
      <c r="J37" s="13" t="n">
        <v>100</v>
      </c>
      <c r="K37" s="14" t="n">
        <v>53.8</v>
      </c>
      <c r="L37" s="16">
        <f>IFERROR(G37/$E37,"")</f>
        <v/>
      </c>
      <c r="M37" s="16">
        <f>IFERROR(I37/$E37,"")</f>
        <v/>
      </c>
      <c r="N37" s="16">
        <f>IFERROR(K37/$E37,"")</f>
        <v/>
      </c>
    </row>
    <row r="38">
      <c r="A38" s="9" t="inlineStr">
        <is>
          <t>06093</t>
        </is>
      </c>
      <c r="B38" s="10" t="inlineStr">
        <is>
          <t>Caixa De Som Com Carregador Indução</t>
        </is>
      </c>
      <c r="C38" s="11" t="inlineStr">
        <is>
          <t>Oculto</t>
        </is>
      </c>
      <c r="D38" s="11" t="inlineStr">
        <is>
          <t>Som, Fones e Power Bank</t>
        </is>
      </c>
      <c r="E38" s="12" t="n">
        <v>47.9</v>
      </c>
      <c r="F38" s="13" t="n">
        <v>20</v>
      </c>
      <c r="G38" s="14" t="n">
        <v>119.75</v>
      </c>
      <c r="H38" s="13" t="n">
        <v>50</v>
      </c>
      <c r="I38" s="14" t="n">
        <v>105.38</v>
      </c>
      <c r="J38" s="13" t="n">
        <v>100</v>
      </c>
      <c r="K38" s="14" t="n">
        <v>95.8</v>
      </c>
      <c r="L38" s="16">
        <f>IFERROR(G38/$E38,"")</f>
        <v/>
      </c>
      <c r="M38" s="16">
        <f>IFERROR(I38/$E38,"")</f>
        <v/>
      </c>
      <c r="N38" s="16">
        <f>IFERROR(K38/$E38,"")</f>
        <v/>
      </c>
    </row>
    <row r="39">
      <c r="A39" s="9" t="inlineStr">
        <is>
          <t>04065</t>
        </is>
      </c>
      <c r="B39" s="10" t="inlineStr">
        <is>
          <t>Caixa De Som Multimídia Com Relógio</t>
        </is>
      </c>
      <c r="C39" s="11" t="inlineStr">
        <is>
          <t>Oculto</t>
        </is>
      </c>
      <c r="D39" s="11" t="inlineStr">
        <is>
          <t>Som, Fones e Power Bank</t>
        </is>
      </c>
      <c r="E39" s="12" t="n">
        <v>31.9</v>
      </c>
      <c r="F39" s="13" t="n">
        <v>20</v>
      </c>
      <c r="G39" s="14" t="n">
        <v>79.75</v>
      </c>
      <c r="H39" s="13" t="n">
        <v>50</v>
      </c>
      <c r="I39" s="14" t="n">
        <v>70.18000000000001</v>
      </c>
      <c r="J39" s="13" t="n">
        <v>100</v>
      </c>
      <c r="K39" s="14" t="n">
        <v>63.8</v>
      </c>
      <c r="L39" s="16">
        <f>IFERROR(G39/$E39,"")</f>
        <v/>
      </c>
      <c r="M39" s="16">
        <f>IFERROR(I39/$E39,"")</f>
        <v/>
      </c>
      <c r="N39" s="16">
        <f>IFERROR(K39/$E39,"")</f>
        <v/>
      </c>
    </row>
    <row r="40">
      <c r="A40" s="9" t="inlineStr">
        <is>
          <t>05021</t>
        </is>
      </c>
      <c r="B40" s="10" t="inlineStr">
        <is>
          <t>Fone Bluetooth C/ Carregador</t>
        </is>
      </c>
      <c r="C40" s="11" t="inlineStr">
        <is>
          <t>Oculto</t>
        </is>
      </c>
      <c r="D40" s="11" t="inlineStr">
        <is>
          <t>Som, Fones e Power Bank</t>
        </is>
      </c>
      <c r="E40" s="12" t="n">
        <v>19.99</v>
      </c>
      <c r="F40" s="13" t="n">
        <v>20</v>
      </c>
      <c r="G40" s="14" t="n">
        <v>49.97</v>
      </c>
      <c r="H40" s="13" t="n">
        <v>50</v>
      </c>
      <c r="I40" s="14" t="n">
        <v>43.97</v>
      </c>
      <c r="J40" s="13" t="n">
        <v>100</v>
      </c>
      <c r="K40" s="14" t="n">
        <v>39.98</v>
      </c>
      <c r="L40" s="16">
        <f>IFERROR(G40/$E40,"")</f>
        <v/>
      </c>
      <c r="M40" s="16">
        <f>IFERROR(I40/$E40,"")</f>
        <v/>
      </c>
      <c r="N40" s="16">
        <f>IFERROR(K40/$E40,"")</f>
        <v/>
      </c>
    </row>
    <row r="41">
      <c r="A41" s="9" t="inlineStr">
        <is>
          <t>06052</t>
        </is>
      </c>
      <c r="B41" s="10" t="inlineStr">
        <is>
          <t>Power Bank 10.000Mah Com Carregamento Via Indução Ou Via Cabo</t>
        </is>
      </c>
      <c r="C41" s="11" t="inlineStr">
        <is>
          <t>Oculto</t>
        </is>
      </c>
      <c r="D41" s="11" t="inlineStr">
        <is>
          <t>Som, Fones e Power Bank</t>
        </is>
      </c>
      <c r="E41" s="12" t="n">
        <v>61.9</v>
      </c>
      <c r="F41" s="13" t="n">
        <v>20</v>
      </c>
      <c r="G41" s="14" t="n">
        <v>154.75</v>
      </c>
      <c r="H41" s="13" t="n">
        <v>50</v>
      </c>
      <c r="I41" s="14" t="n">
        <v>136.18</v>
      </c>
      <c r="J41" s="13" t="n">
        <v>100</v>
      </c>
      <c r="K41" s="14" t="n">
        <v>123.8</v>
      </c>
      <c r="L41" s="16">
        <f>IFERROR(G41/$E41,"")</f>
        <v/>
      </c>
      <c r="M41" s="16">
        <f>IFERROR(I41/$E41,"")</f>
        <v/>
      </c>
      <c r="N41" s="16">
        <f>IFERROR(K41/$E41,"")</f>
        <v/>
      </c>
    </row>
    <row r="42">
      <c r="A42" s="9" t="inlineStr">
        <is>
          <t>02250</t>
        </is>
      </c>
      <c r="B42" s="10" t="inlineStr">
        <is>
          <t>Kit Churrasco 5 Peças</t>
        </is>
      </c>
      <c r="C42" s="11" t="inlineStr">
        <is>
          <t>Oculto</t>
        </is>
      </c>
      <c r="D42" s="11" t="inlineStr">
        <is>
          <t>Kit Churrasco e Kit Vinho</t>
        </is>
      </c>
      <c r="E42" s="12" t="n">
        <v>45</v>
      </c>
      <c r="F42" s="13" t="n">
        <v>20</v>
      </c>
      <c r="G42" s="14" t="n">
        <v>112.5</v>
      </c>
      <c r="H42" s="13" t="n">
        <v>50</v>
      </c>
      <c r="I42" s="14" t="n">
        <v>99</v>
      </c>
      <c r="J42" s="13" t="n">
        <v>100</v>
      </c>
      <c r="K42" s="14" t="n">
        <v>90</v>
      </c>
      <c r="L42" s="16">
        <f>IFERROR(G42/$E42,"")</f>
        <v/>
      </c>
      <c r="M42" s="16">
        <f>IFERROR(I42/$E42,"")</f>
        <v/>
      </c>
      <c r="N42" s="16">
        <f>IFERROR(K42/$E42,"")</f>
        <v/>
      </c>
    </row>
    <row r="43">
      <c r="A43" s="9" t="inlineStr">
        <is>
          <t>05184B</t>
        </is>
      </c>
      <c r="B43" s="10" t="inlineStr">
        <is>
          <t>Kit Churrasco 8 Peças</t>
        </is>
      </c>
      <c r="C43" s="11" t="inlineStr">
        <is>
          <t>Oculto</t>
        </is>
      </c>
      <c r="D43" s="11" t="inlineStr">
        <is>
          <t>Kit Churrasco e Kit Vinho</t>
        </is>
      </c>
      <c r="E43" s="12" t="n">
        <v>47.5</v>
      </c>
      <c r="F43" s="13" t="n">
        <v>20</v>
      </c>
      <c r="G43" s="14" t="n">
        <v>118.75</v>
      </c>
      <c r="H43" s="13" t="n">
        <v>50</v>
      </c>
      <c r="I43" s="14" t="n">
        <v>104.5</v>
      </c>
      <c r="J43" s="13" t="n">
        <v>100</v>
      </c>
      <c r="K43" s="14" t="n">
        <v>95</v>
      </c>
      <c r="L43" s="16">
        <f>IFERROR(G43/$E43,"")</f>
        <v/>
      </c>
      <c r="M43" s="16">
        <f>IFERROR(I43/$E43,"")</f>
        <v/>
      </c>
      <c r="N43" s="16">
        <f>IFERROR(K43/$E43,"")</f>
        <v/>
      </c>
    </row>
    <row r="44">
      <c r="A44" s="9" t="inlineStr">
        <is>
          <t>11871</t>
        </is>
      </c>
      <c r="B44" s="10" t="inlineStr">
        <is>
          <t>Kit Vinho Plástico Resistente 3 Peças Formato Garrafa</t>
        </is>
      </c>
      <c r="C44" s="11" t="inlineStr">
        <is>
          <t>Oculto</t>
        </is>
      </c>
      <c r="D44" s="11" t="inlineStr">
        <is>
          <t>Kit Churrasco e Kit Vinho</t>
        </is>
      </c>
      <c r="E44" s="12" t="n">
        <v>20.9</v>
      </c>
      <c r="F44" s="13" t="n">
        <v>20</v>
      </c>
      <c r="G44" s="14" t="n">
        <v>52.25</v>
      </c>
      <c r="H44" s="13" t="n">
        <v>50</v>
      </c>
      <c r="I44" s="14" t="n">
        <v>45.98</v>
      </c>
      <c r="J44" s="13" t="n">
        <v>100</v>
      </c>
      <c r="K44" s="14" t="n">
        <v>41.8</v>
      </c>
      <c r="L44" s="16">
        <f>IFERROR(G44/$E44,"")</f>
        <v/>
      </c>
      <c r="M44" s="16">
        <f>IFERROR(I44/$E44,"")</f>
        <v/>
      </c>
      <c r="N44" s="16">
        <f>IFERROR(K44/$E44,"")</f>
        <v/>
      </c>
    </row>
    <row r="45">
      <c r="A45" s="9" t="inlineStr">
        <is>
          <t>12046</t>
        </is>
      </c>
      <c r="B45" s="10" t="inlineStr">
        <is>
          <t>Kit Vinho Xadrez 4 Pçs</t>
        </is>
      </c>
      <c r="C45" s="11" t="inlineStr">
        <is>
          <t>Oculto</t>
        </is>
      </c>
      <c r="D45" s="11" t="inlineStr">
        <is>
          <t>Kit Churrasco e Kit Vinho</t>
        </is>
      </c>
      <c r="E45" s="12" t="n">
        <v>35</v>
      </c>
      <c r="F45" s="13" t="n">
        <v>20</v>
      </c>
      <c r="G45" s="14" t="n">
        <v>87.5</v>
      </c>
      <c r="H45" s="13" t="n">
        <v>50</v>
      </c>
      <c r="I45" s="14" t="n">
        <v>77</v>
      </c>
      <c r="J45" s="13" t="n">
        <v>100</v>
      </c>
      <c r="K45" s="14" t="n">
        <v>70</v>
      </c>
      <c r="L45" s="16">
        <f>IFERROR(G45/$E45,"")</f>
        <v/>
      </c>
      <c r="M45" s="16">
        <f>IFERROR(I45/$E45,"")</f>
        <v/>
      </c>
      <c r="N45" s="16">
        <f>IFERROR(K45/$E45,"")</f>
        <v/>
      </c>
    </row>
    <row r="46">
      <c r="A46" s="9" t="inlineStr">
        <is>
          <t>06090</t>
        </is>
      </c>
      <c r="B46" s="10" t="inlineStr">
        <is>
          <t>Marmita Dupla Fibra Bambu</t>
        </is>
      </c>
      <c r="C46" s="11" t="inlineStr">
        <is>
          <t>Oculto</t>
        </is>
      </c>
      <c r="D46" s="11" t="inlineStr">
        <is>
          <t>Marmitas e Tábuas</t>
        </is>
      </c>
      <c r="E46" s="12" t="n">
        <v>14.9</v>
      </c>
      <c r="F46" s="13" t="n">
        <v>20</v>
      </c>
      <c r="G46" s="14" t="n">
        <v>37.25</v>
      </c>
      <c r="H46" s="13" t="n">
        <v>50</v>
      </c>
      <c r="I46" s="14" t="n">
        <v>32.78</v>
      </c>
      <c r="J46" s="13" t="n">
        <v>100</v>
      </c>
      <c r="K46" s="14" t="n">
        <v>29.8</v>
      </c>
      <c r="L46" s="16">
        <f>IFERROR(G46/$E46,"")</f>
        <v/>
      </c>
      <c r="M46" s="16">
        <f>IFERROR(I46/$E46,"")</f>
        <v/>
      </c>
      <c r="N46" s="16">
        <f>IFERROR(K46/$E46,"")</f>
        <v/>
      </c>
    </row>
    <row r="47">
      <c r="A47" s="9" t="inlineStr">
        <is>
          <t>06089</t>
        </is>
      </c>
      <c r="B47" s="10" t="inlineStr">
        <is>
          <t>Marmita Fibra Trigo</t>
        </is>
      </c>
      <c r="C47" s="11" t="inlineStr">
        <is>
          <t>Oculto</t>
        </is>
      </c>
      <c r="D47" s="11" t="inlineStr">
        <is>
          <t>Marmitas e Tábuas</t>
        </is>
      </c>
      <c r="E47" s="12" t="n">
        <v>11.9</v>
      </c>
      <c r="F47" s="13" t="n">
        <v>20</v>
      </c>
      <c r="G47" s="14" t="n">
        <v>29.75</v>
      </c>
      <c r="H47" s="13" t="n">
        <v>50</v>
      </c>
      <c r="I47" s="14" t="n">
        <v>26.18</v>
      </c>
      <c r="J47" s="13" t="n">
        <v>100</v>
      </c>
      <c r="K47" s="14" t="n">
        <v>23.8</v>
      </c>
      <c r="L47" s="16">
        <f>IFERROR(G47/$E47,"")</f>
        <v/>
      </c>
      <c r="M47" s="16">
        <f>IFERROR(I47/$E47,"")</f>
        <v/>
      </c>
      <c r="N47" s="16">
        <f>IFERROR(K47/$E47,"")</f>
        <v/>
      </c>
    </row>
    <row r="48">
      <c r="A48" s="9" t="inlineStr">
        <is>
          <t>18584B</t>
        </is>
      </c>
      <c r="B48" s="10" t="inlineStr">
        <is>
          <t>Tábua De Corte Com Canaleta</t>
        </is>
      </c>
      <c r="C48" s="11" t="inlineStr">
        <is>
          <t>Oculto</t>
        </is>
      </c>
      <c r="D48" s="11" t="inlineStr">
        <is>
          <t>Marmitas e Tábuas</t>
        </is>
      </c>
      <c r="E48" s="12" t="n">
        <v>9</v>
      </c>
      <c r="F48" s="13" t="n">
        <v>20</v>
      </c>
      <c r="G48" s="14" t="n">
        <v>22.5</v>
      </c>
      <c r="H48" s="13" t="n">
        <v>50</v>
      </c>
      <c r="I48" s="14" t="n">
        <v>19.8</v>
      </c>
      <c r="J48" s="13" t="n">
        <v>100</v>
      </c>
      <c r="K48" s="14" t="n">
        <v>18</v>
      </c>
      <c r="L48" s="16">
        <f>IFERROR(G48/$E48,"")</f>
        <v/>
      </c>
      <c r="M48" s="16">
        <f>IFERROR(I48/$E48,"")</f>
        <v/>
      </c>
      <c r="N48" s="16">
        <f>IFERROR(K48/$E48,"")</f>
        <v/>
      </c>
    </row>
    <row r="49">
      <c r="A49" s="9" t="inlineStr">
        <is>
          <t>18591B</t>
        </is>
      </c>
      <c r="B49" s="10" t="inlineStr">
        <is>
          <t>Tábua De Corte Com Canaleta</t>
        </is>
      </c>
      <c r="C49" s="11" t="inlineStr">
        <is>
          <t>Oculto</t>
        </is>
      </c>
      <c r="D49" s="11" t="inlineStr">
        <is>
          <t>Marmitas e Tábuas</t>
        </is>
      </c>
      <c r="E49" s="12" t="n">
        <v>9.9</v>
      </c>
      <c r="F49" s="13" t="n">
        <v>20</v>
      </c>
      <c r="G49" s="14" t="n">
        <v>24.75</v>
      </c>
      <c r="H49" s="13" t="n">
        <v>50</v>
      </c>
      <c r="I49" s="14" t="n">
        <v>21.78</v>
      </c>
      <c r="J49" s="13" t="n">
        <v>100</v>
      </c>
      <c r="K49" s="14" t="n">
        <v>19.8</v>
      </c>
      <c r="L49" s="16">
        <f>IFERROR(G49/$E49,"")</f>
        <v/>
      </c>
      <c r="M49" s="16">
        <f>IFERROR(I49/$E49,"")</f>
        <v/>
      </c>
      <c r="N49" s="16">
        <f>IFERROR(K49/$E49,"")</f>
        <v/>
      </c>
    </row>
    <row r="50">
      <c r="A50" s="9" t="inlineStr">
        <is>
          <t>18599</t>
        </is>
      </c>
      <c r="B50" s="10" t="inlineStr">
        <is>
          <t>Tábua De Corte Com Canaleta 34X24</t>
        </is>
      </c>
      <c r="C50" s="11" t="inlineStr">
        <is>
          <t>Oculto</t>
        </is>
      </c>
      <c r="D50" s="11" t="inlineStr">
        <is>
          <t>Marmitas e Tábuas</t>
        </is>
      </c>
      <c r="E50" s="12" t="n">
        <v>13.9</v>
      </c>
      <c r="F50" s="13" t="n">
        <v>20</v>
      </c>
      <c r="G50" s="14" t="n">
        <v>34.75</v>
      </c>
      <c r="H50" s="13" t="n">
        <v>50</v>
      </c>
      <c r="I50" s="14" t="n">
        <v>30.58</v>
      </c>
      <c r="J50" s="13" t="n">
        <v>100</v>
      </c>
      <c r="K50" s="14" t="n">
        <v>27.8</v>
      </c>
      <c r="L50" s="16">
        <f>IFERROR(G50/$E50,"")</f>
        <v/>
      </c>
      <c r="M50" s="16">
        <f>IFERROR(I50/$E50,"")</f>
        <v/>
      </c>
      <c r="N50" s="16">
        <f>IFERROR(K50/$E50,"")</f>
        <v/>
      </c>
    </row>
    <row r="51">
      <c r="A51" s="9" t="inlineStr">
        <is>
          <t>05044</t>
        </is>
      </c>
      <c r="B51" s="10" t="inlineStr">
        <is>
          <t>Guarda-Chuva Automático</t>
        </is>
      </c>
      <c r="C51" s="11" t="inlineStr">
        <is>
          <t>Oculto</t>
        </is>
      </c>
      <c r="D51" s="11" t="inlineStr">
        <is>
          <t>Guarda-Chuvas</t>
        </is>
      </c>
      <c r="E51" s="12" t="n">
        <v>20.5</v>
      </c>
      <c r="F51" s="13" t="n">
        <v>20</v>
      </c>
      <c r="G51" s="14" t="n">
        <v>51.25</v>
      </c>
      <c r="H51" s="13" t="n">
        <v>50</v>
      </c>
      <c r="I51" s="14" t="n">
        <v>45.1</v>
      </c>
      <c r="J51" s="13" t="n">
        <v>100</v>
      </c>
      <c r="K51" s="14" t="n">
        <v>41</v>
      </c>
      <c r="L51" s="16">
        <f>IFERROR(G51/$E51,"")</f>
        <v/>
      </c>
      <c r="M51" s="16">
        <f>IFERROR(I51/$E51,"")</f>
        <v/>
      </c>
      <c r="N51" s="16">
        <f>IFERROR(K51/$E51,"")</f>
        <v/>
      </c>
    </row>
    <row r="53">
      <c r="A53" s="2" t="inlineStr">
        <is>
          <t>40 produtos. Custo lido de products_cache (preco_custo) em 04/09/2026; venda lida de catalogo_clientes.</t>
        </is>
      </c>
    </row>
  </sheetData>
  <autoFilter ref="A10:N5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2026-09-03T22:10:04Z</dcterms:created>
  <dcterms:modified xsi:type="dcterms:W3CDTF">2026-09-03T22:10:04Z</dcterms:modified>
</cp:coreProperties>
</file>